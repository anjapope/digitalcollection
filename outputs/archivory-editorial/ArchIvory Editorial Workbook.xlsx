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66d01b4c6a48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b497896396ec40e6"/>
    <x:sheet xmlns:r="http://schemas.openxmlformats.org/officeDocument/2006/relationships" name="Content" sheetId="2" r:id="R254823be89494ef6"/>
    <x:sheet xmlns:r="http://schemas.openxmlformats.org/officeDocument/2006/relationships" name="Events" sheetId="3" r:id="Rca64618e21334040"/>
    <x:sheet xmlns:r="http://schemas.openxmlformats.org/officeDocument/2006/relationships" name="Timelines" sheetId="4" r:id="Refd42bd4033144b4"/>
    <x:sheet xmlns:r="http://schemas.openxmlformats.org/officeDocument/2006/relationships" name="Rooms" sheetId="5" r:id="Rfb2de58daa3c49e9"/>
    <x:sheet xmlns:r="http://schemas.openxmlformats.org/officeDocument/2006/relationships" name="Slots" sheetId="6" r:id="R4141fb30fd9a407b"/>
    <x:sheet xmlns:r="http://schemas.openxmlformats.org/officeDocument/2006/relationships" name="Collection" sheetId="7" r:id="Rcd34d11aaf5b466c"/>
    <x:sheet xmlns:r="http://schemas.openxmlformats.org/officeDocument/2006/relationships" name="Guide" sheetId="8" r:id="R267053c941224f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4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FFE2A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56e615b60c42dc" /><Relationship Type="http://schemas.openxmlformats.org/officeDocument/2006/relationships/theme" Target="/xl/theme/theme1.xml" Id="Rd872693cc4e348c6" /><Relationship Type="http://schemas.openxmlformats.org/officeDocument/2006/relationships/sharedStrings" Target="/xl/sharedStrings.xml" Id="Rdace8bc74b2143e9" /><Relationship Type="http://schemas.openxmlformats.org/officeDocument/2006/relationships/worksheet" Target="/xl/worksheets/sheet1.xml" Id="Rb497896396ec40e6" /><Relationship Type="http://schemas.openxmlformats.org/officeDocument/2006/relationships/worksheet" Target="/xl/worksheets/sheet2.xml" Id="R254823be89494ef6" /><Relationship Type="http://schemas.openxmlformats.org/officeDocument/2006/relationships/worksheet" Target="/xl/worksheets/sheet3.xml" Id="Rca64618e21334040" /><Relationship Type="http://schemas.openxmlformats.org/officeDocument/2006/relationships/worksheet" Target="/xl/worksheets/sheet4.xml" Id="Refd42bd4033144b4" /><Relationship Type="http://schemas.openxmlformats.org/officeDocument/2006/relationships/worksheet" Target="/xl/worksheets/sheet5.xml" Id="Rfb2de58daa3c49e9" /><Relationship Type="http://schemas.openxmlformats.org/officeDocument/2006/relationships/worksheet" Target="/xl/worksheets/sheet6.xml" Id="R4141fb30fd9a407b" /><Relationship Type="http://schemas.openxmlformats.org/officeDocument/2006/relationships/worksheet" Target="/xl/worksheets/sheet7.xml" Id="Rcd34d11aaf5b466c" /><Relationship Type="http://schemas.openxmlformats.org/officeDocument/2006/relationships/worksheet" Target="/xl/worksheets/sheet8.xml" Id="R267053c941224fec" /></Relationships>
</file>

<file path=xl/tables/table1.xml><?xml version="1.0" encoding="utf-8"?>
<x:table xmlns:x="http://schemas.openxmlformats.org/spreadsheetml/2006/main" id="1" name="PlacementsTable" displayName="PlacementsTable" ref="A1:I63" headerRowCount="1" totalsRowCount="0" totalsRowShown="0">
  <x:tableColumns count="9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(automatic)"/>
    <x:tableColumn id="8" name="Location (automatic)"/>
    <x:tableColumn id="9" name="Content title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1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I32" headerRowCount="1" totalsRowCount="0" totalsRowShown="0">
  <x:tableColumns count="9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F20" headerRowCount="1" totalsRowCount="0" totalsRowShown="0">
  <x:tableColumns count="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1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de5a1abd83842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a52e63debfe48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9516145e6f246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89302938c3349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e2791391a4940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56341d2c27840c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6f8543bba544415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(automatic)</x:v>
      </x:c>
      <x:c r="H1" s="10" t="str">
        <x:v>Location (automatic)</x:v>
      </x:c>
      <x:c r="I1" s="10" t="str">
        <x:v>Content title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IF(B2="","",IFNA(VLOOKUP(B2,Slots!$A$2:$D$501,2,FALSE),"Unknown slot"))</x:f>
        <x:v>gallery</x:v>
      </x:c>
      <x:c r="H2" s="15" t="str">
        <x:f>IF(B2="","",IFNA(VLOOKUP(B2,Slots!$A$2:$D$501,4,FALSE),"Unknown slot"))</x:f>
        <x:v>Gallery introduction</x:v>
      </x:c>
      <x:c r="I2" s="15" t="str">
        <x:f>IF(C2="","Choose content",IF(D2="timeline",IFNA(VLOOKUP(C2,Timelines!$A$2:$D$501,3,FALSE),"Unknown timeline"),IFNA(VLOOKUP(C2,Content!$A$2:$B$501,2,FALSE),"Unknown content")))</x:f>
        <x:v>Gallery Intro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IF(B3="","",IFNA(VLOOKUP(B3,Slots!$A$2:$D$501,2,FALSE),"Unknown slot"))</x:f>
        <x:v>conservation_lab</x:v>
      </x:c>
      <x:c r="H3" s="15" t="str">
        <x:f>IF(B3="","",IFNA(VLOOKUP(B3,Slots!$A$2:$D$501,4,FALSE),"Unknown slot"))</x:f>
        <x:v>Conservation Lab introduction</x:v>
      </x:c>
      <x:c r="I3" s="15" t="str">
        <x:f>IF(C3="","Choose content",IF(D3="timeline",IFNA(VLOOKUP(C3,Timelines!$A$2:$D$501,3,FALSE),"Unknown timeline"),IFNA(VLOOKUP(C3,Content!$A$2:$B$501,2,FALSE),"Unknown content")))</x:f>
        <x:v>Conservation Lab Intro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IF(B4="","",IFNA(VLOOKUP(B4,Slots!$A$2:$D$501,2,FALSE),"Unknown slot"))</x:f>
        <x:v>vestibule</x:v>
      </x:c>
      <x:c r="H4" s="15" t="str">
        <x:f>IF(B4="","",IFNA(VLOOKUP(B4,Slots!$A$2:$D$501,4,FALSE),"Unknown slot"))</x:f>
        <x:v>Welcome and check-in</x:v>
      </x:c>
      <x:c r="I4" s="15" t="str">
        <x:f>IF(C4="","Choose content",IF(D4="timeline",IFNA(VLOOKUP(C4,Timelines!$A$2:$D$501,3,FALSE),"Unknown timeline"),IFNA(VLOOKUP(C4,Content!$A$2:$B$501,2,FALSE),"Unknown content")))</x:f>
        <x:v>Welcome to ArchIvory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true</x:v>
      </x:c>
      <x:c r="G5" s="15" t="str">
        <x:f>IF(B5="","",IFNA(VLOOKUP(B5,Slots!$A$2:$D$501,2,FALSE),"Unknown slot"))</x:f>
        <x:v>gallery</x:v>
      </x:c>
      <x:c r="H5" s="15" t="str">
        <x:f>IF(B5="","",IFNA(VLOOKUP(B5,Slots!$A$2:$D$501,4,FALSE),"Unknown slot"))</x:f>
        <x:v>Near left-wall relief</x:v>
      </x:c>
      <x:c r="I5" s="15" t="str">
        <x:f>IF(C5="","Choose content",IF(D5="timeline",IFNA(VLOOKUP(C5,Timelines!$A$2:$D$501,3,FALSE),"Unknown timeline"),IFNA(VLOOKUP(C5,Content!$A$2:$B$501,2,FALSE),"Unknown content")))</x:f>
        <x:v>Illustrated relief — identity unverified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IF(B6="","",IFNA(VLOOKUP(B6,Slots!$A$2:$D$501,2,FALSE),"Unknown slot"))</x:f>
        <x:v>gallery</x:v>
      </x:c>
      <x:c r="H6" s="15" t="str">
        <x:f>IF(B6="","",IFNA(VLOOKUP(B6,Slots!$A$2:$D$501,4,FALSE),"Unknown slot"))</x:f>
        <x:v>Near left-wall relief</x:v>
      </x:c>
      <x:c r="I6" s="15" t="str">
        <x:f>IF(C6="","Choose content",IF(D6="timeline",IFNA(VLOOKUP(C6,Timelines!$A$2:$D$501,3,FALSE),"Unknown timeline"),IFNA(VLOOKUP(C6,Content!$A$2:$B$501,2,FALSE),"Unknown content")))</x:f>
        <x:v>Susanna and the Elders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IF(B7="","",IFNA(VLOOKUP(B7,Slots!$A$2:$D$501,2,FALSE),"Unknown slot"))</x:f>
        <x:v>gallery</x:v>
      </x:c>
      <x:c r="H7" s="15" t="str">
        <x:f>IF(B7="","",IFNA(VLOOKUP(B7,Slots!$A$2:$D$501,4,FALSE),"Unknown slot"))</x:f>
        <x:v>Far left-wall relief</x:v>
      </x:c>
      <x:c r="I7" s="15" t="str">
        <x:f>IF(C7="","Choose content",IF(D7="timeline",IFNA(VLOOKUP(C7,Timelines!$A$2:$D$501,3,FALSE),"Unknown timeline"),IFNA(VLOOKUP(C7,Content!$A$2:$B$501,2,FALSE),"Unknown content")))</x:f>
        <x:v>Illustrated relief — identity unverified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IF(B8="","",IFNA(VLOOKUP(B8,Slots!$A$2:$D$501,2,FALSE),"Unknown slot"))</x:f>
        <x:v>gallery</x:v>
      </x:c>
      <x:c r="H8" s="15" t="str">
        <x:f>IF(B8="","",IFNA(VLOOKUP(B8,Slots!$A$2:$D$501,4,FALSE),"Unknown slot"))</x:f>
        <x:v>Far left-wall relief</x:v>
      </x:c>
      <x:c r="I8" s="15" t="str">
        <x:f>IF(C8="","Choose content",IF(D8="timeline",IFNA(VLOOKUP(C8,Timelines!$A$2:$D$501,3,FALSE),"Unknown timeline"),IFNA(VLOOKUP(C8,Content!$A$2:$B$501,2,FALSE),"Unknown content")))</x:f>
        <x:v>Barberini Ivory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IF(B9="","",IFNA(VLOOKUP(B9,Slots!$A$2:$D$501,2,FALSE),"Unknown slot"))</x:f>
        <x:v>gallery</x:v>
      </x:c>
      <x:c r="H9" s="15" t="str">
        <x:f>IF(B9="","",IFNA(VLOOKUP(B9,Slots!$A$2:$D$501,4,FALSE),"Unknown slot"))</x:f>
        <x:v>Front glass case</x:v>
      </x:c>
      <x:c r="I9" s="15" t="str">
        <x:f>IF(C9="","Choose content",IF(D9="timeline",IFNA(VLOOKUP(C9,Timelines!$A$2:$D$501,3,FALSE),"Unknown timeline"),IFNA(VLOOKUP(C9,Content!$A$2:$B$501,2,FALSE),"Unknown content")))</x:f>
        <x:v>Illustrated folding fan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IF(B10="","",IFNA(VLOOKUP(B10,Slots!$A$2:$D$501,2,FALSE),"Unknown slot"))</x:f>
        <x:v>gallery</x:v>
      </x:c>
      <x:c r="H10" s="15" t="str">
        <x:f>IF(B10="","",IFNA(VLOOKUP(B10,Slots!$A$2:$D$501,4,FALSE),"Unknown slot"))</x:f>
        <x:v>Small rear-wall frame</x:v>
      </x:c>
      <x:c r="I10" s="15" t="str">
        <x:f>IF(C10="","Choose content",IF(D10="timeline",IFNA(VLOOKUP(C10,Timelines!$A$2:$D$501,3,FALSE),"Unknown timeline"),IFNA(VLOOKUP(C10,Content!$A$2:$B$501,2,FALSE),"Unknown content")))</x:f>
        <x:v>Roman Wall Sconce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IF(B11="","",IFNA(VLOOKUP(B11,Slots!$A$2:$D$501,2,FALSE),"Unknown slot"))</x:f>
        <x:v>conservation_lab</x:v>
      </x:c>
      <x:c r="H11" s="15" t="str">
        <x:f>IF(B11="","",IFNA(VLOOKUP(B11,Slots!$A$2:$D$501,4,FALSE),"Unknown slot"))</x:f>
        <x:v>Central ivories collection</x:v>
      </x:c>
      <x:c r="I11" s="15" t="str">
        <x:f>IF(C11="","Choose content",IF(D11="timeline",IFNA(VLOOKUP(C11,Timelines!$A$2:$D$501,3,FALSE),"Unknown timeline"),IFNA(VLOOKUP(C11,Content!$A$2:$B$501,2,FALSE),"Unknown content")))</x:f>
        <x:v>IU Eskenazi Museum Ivories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IF(B12="","",IFNA(VLOOKUP(B12,Slots!$A$2:$D$501,2,FALSE),"Unknown slot"))</x:f>
        <x:v>conservation_lab</x:v>
      </x:c>
      <x:c r="H12" s="15" t="str">
        <x:f>IF(B12="","",IFNA(VLOOKUP(B12,Slots!$A$2:$D$501,4,FALSE),"Unknown slot"))</x:f>
        <x:v>Ivory Through the Ages</x:v>
      </x:c>
      <x:c r="I12" s="15" t="str">
        <x:f>IF(C12="","Choose content",IF(D12="timeline",IFNA(VLOOKUP(C12,Timelines!$A$2:$D$501,3,FALSE),"Unknown timeline"),IFNA(VLOOKUP(C12,Content!$A$2:$B$501,2,FALSE),"Unknown content")))</x:f>
        <x:v>Conservation Lab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IF(B13="","",IFNA(VLOOKUP(B13,Slots!$A$2:$D$501,2,FALSE),"Unknown slot"))</x:f>
        <x:v>conservation_lab</x:v>
      </x:c>
      <x:c r="H13" s="15" t="str">
        <x:f>IF(B13="","",IFNA(VLOOKUP(B13,Slots!$A$2:$D$501,4,FALSE),"Unknown slot"))</x:f>
        <x:v>Rear analysis workbench</x:v>
      </x:c>
      <x:c r="I13" s="15" t="str">
        <x:f>IF(C13="","Choose content",IF(D13="timeline",IFNA(VLOOKUP(C13,Timelines!$A$2:$D$501,3,FALSE),"Unknown timeline"),IFNA(VLOOKUP(C13,Content!$A$2:$B$501,2,FALSE),"Unknown content")))</x:f>
        <x:v>Analysis workbench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IF(B14="","",IFNA(VLOOKUP(B14,Slots!$A$2:$D$501,2,FALSE),"Unknown slot"))</x:f>
        <x:v>historical_society</x:v>
      </x:c>
      <x:c r="H14" s="15" t="str">
        <x:f>IF(B14="","",IFNA(VLOOKUP(B14,Slots!$A$2:$D$501,4,FALSE),"Unknown slot"))</x:f>
        <x:v>Local Lives</x:v>
      </x:c>
      <x:c r="I14" s="15" t="str">
        <x:f>IF(C14="","Choose content",IF(D14="timeline",IFNA(VLOOKUP(C14,Timelines!$A$2:$D$501,3,FALSE),"Unknown timeline"),IFNA(VLOOKUP(C14,Content!$A$2:$B$501,2,FALSE),"Unknown content")))</x:f>
        <x:v>Historical Society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IF(B15="","",IFNA(VLOOKUP(B15,Slots!$A$2:$D$501,2,FALSE),"Unknown slot"))</x:f>
        <x:v>historical_society</x:v>
      </x:c>
      <x:c r="H15" s="15" t="str">
        <x:f>IF(B15="","",IFNA(VLOOKUP(B15,Slots!$A$2:$D$501,4,FALSE),"Unknown slot"))</x:f>
        <x:v>Piano</x:v>
      </x:c>
      <x:c r="I15" s="15" t="str">
        <x:f>IF(C15="","Choose content",IF(D15="timeline",IFNA(VLOOKUP(C15,Timelines!$A$2:$D$501,3,FALSE),"Unknown timeline"),IFNA(VLOOKUP(C15,Content!$A$2:$B$501,2,FALSE),"Unknown content")))</x:f>
        <x:v>Piano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IF(B16="","",IFNA(VLOOKUP(B16,Slots!$A$2:$D$501,2,FALSE),"Unknown slot"))</x:f>
        <x:v>historical_society</x:v>
      </x:c>
      <x:c r="H16" s="15" t="str">
        <x:f>IF(B16="","",IFNA(VLOOKUP(B16,Slots!$A$2:$D$501,4,FALSE),"Unknown slot"))</x:f>
        <x:v>Billiards table</x:v>
      </x:c>
      <x:c r="I16" s="15" t="str">
        <x:f>IF(C16="","Choose content",IF(D16="timeline",IFNA(VLOOKUP(C16,Timelines!$A$2:$D$501,3,FALSE),"Unknown timeline"),IFNA(VLOOKUP(C16,Content!$A$2:$B$501,2,FALSE),"Unknown content")))</x:f>
        <x:v>Billiards table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IF(B17="","",IFNA(VLOOKUP(B17,Slots!$A$2:$D$501,2,FALSE),"Unknown slot"))</x:f>
        <x:v>attic</x:v>
      </x:c>
      <x:c r="H17" s="15" t="str">
        <x:f>IF(B17="","",IFNA(VLOOKUP(B17,Slots!$A$2:$D$501,4,FALSE),"Unknown slot"))</x:f>
        <x:v>Family Traces</x:v>
      </x:c>
      <x:c r="I17" s="15" t="str">
        <x:f>IF(C17="","Choose content",IF(D17="timeline",IFNA(VLOOKUP(C17,Timelines!$A$2:$D$501,3,FALSE),"Unknown timeline"),IFNA(VLOOKUP(C17,Content!$A$2:$B$501,2,FALSE),"Unknown content")))</x:f>
        <x:v>Attic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IF(B18="","",IFNA(VLOOKUP(B18,Slots!$A$2:$D$501,2,FALSE),"Unknown slot"))</x:f>
        <x:v>natural_history</x:v>
      </x:c>
      <x:c r="H18" s="15" t="str">
        <x:f>IF(B18="","",IFNA(VLOOKUP(B18,Slots!$A$2:$D$501,4,FALSE),"Unknown slot"))</x:f>
        <x:v>Tusk specimen</x:v>
      </x:c>
      <x:c r="I18" s="15" t="str">
        <x:f>IF(C18="","Choose content",IF(D18="timeline",IFNA(VLOOKUP(C18,Timelines!$A$2:$D$501,3,FALSE),"Unknown timeline"),IFNA(VLOOKUP(C18,Content!$A$2:$B$501,2,FALSE),"Unknown content")))</x:f>
        <x:v>Elephant tusk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IF(B19="","",IFNA(VLOOKUP(B19,Slots!$A$2:$D$501,2,FALSE),"Unknown slot"))</x:f>
        <x:v>natural_history</x:v>
      </x:c>
      <x:c r="H19" s="15" t="str">
        <x:f>IF(B19="","",IFNA(VLOOKUP(B19,Slots!$A$2:$D$501,4,FALSE),"Unknown slot"))</x:f>
        <x:v>Specimen label</x:v>
      </x:c>
      <x:c r="I19" s="15" t="str">
        <x:f>IF(C19="","Choose content",IF(D19="timeline",IFNA(VLOOKUP(C19,Timelines!$A$2:$D$501,3,FALSE),"Unknown timeline"),IFNA(VLOOKUP(C19,Content!$A$2:$B$501,2,FALSE),"Unknown content")))</x:f>
        <x:v>Elephant tusk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IF(B20="","",IFNA(VLOOKUP(B20,Slots!$A$2:$D$501,2,FALSE),"Unknown slot"))</x:f>
        <x:v>natural_history</x:v>
      </x:c>
      <x:c r="H20" s="15" t="str">
        <x:f>IF(B20="","",IFNA(VLOOKUP(B20,Slots!$A$2:$D$501,4,FALSE),"Unknown slot"))</x:f>
        <x:v>Elephant interpretation panel</x:v>
      </x:c>
      <x:c r="I20" s="15" t="str">
        <x:f>IF(C20="","Choose content",IF(D20="timeline",IFNA(VLOOKUP(C20,Timelines!$A$2:$D$501,3,FALSE),"Unknown timeline"),IFNA(VLOOKUP(C20,Content!$A$2:$B$501,2,FALSE),"Unknown content")))</x:f>
        <x:v>Natural History Intro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IF(B21="","",IFNA(VLOOKUP(B21,Slots!$A$2:$D$501,2,FALSE),"Unknown slot"))</x:f>
        <x:v>natural_history</x:v>
      </x:c>
      <x:c r="H21" s="15" t="str">
        <x:f>IF(B21="","",IFNA(VLOOKUP(B21,Slots!$A$2:$D$501,4,FALSE),"Unknown slot"))</x:f>
        <x:v>Wall map</x:v>
      </x:c>
      <x:c r="I21" s="15" t="str">
        <x:f>IF(C21="","Choose content",IF(D21="timeline",IFNA(VLOOKUP(C21,Timelines!$A$2:$D$501,3,FALSE),"Unknown timeline"),IFNA(VLOOKUP(C21,Content!$A$2:$B$501,2,FALSE),"Unknown content")))</x:f>
        <x:v>World map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proboscidean-timeline</x:v>
      </x:c>
      <x:c r="D22" s="12" t="str">
        <x:v>tool</x:v>
      </x:c>
      <x:c r="E22" s="13" t="n">
        <x:v>1</x:v>
      </x:c>
      <x:c r="F22" s="12" t="str">
        <x:v>true</x:v>
      </x:c>
      <x:c r="G22" s="15" t="str">
        <x:f>IF(B22="","",IFNA(VLOOKUP(B22,Slots!$A$2:$D$501,2,FALSE),"Unknown slot"))</x:f>
        <x:v>natural_history</x:v>
      </x:c>
      <x:c r="H22" s="15" t="str">
        <x:f>IF(B22="","",IFNA(VLOOKUP(B22,Slots!$A$2:$D$501,4,FALSE),"Unknown slot"))</x:f>
        <x:v>Deep-time explorer</x:v>
      </x:c>
      <x:c r="I22" s="15" t="str">
        <x:f>IF(C22="","Choose content",IF(D22="timeline",IFNA(VLOOKUP(C22,Timelines!$A$2:$D$501,3,FALSE),"Unknown timeline"),IFNA(VLOOKUP(C22,Content!$A$2:$B$501,2,FALSE),"Unknown content")))</x:f>
        <x:v>Deep-time explorer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IF(B23="","",IFNA(VLOOKUP(B23,Slots!$A$2:$D$501,2,FALSE),"Unknown slot"))</x:f>
        <x:v>natural_history</x:v>
      </x:c>
      <x:c r="H23" s="15" t="str">
        <x:f>IF(B23="","",IFNA(VLOOKUP(B23,Slots!$A$2:$D$501,4,FALSE),"Unknown slot"))</x:f>
        <x:v>Habitation map within explorer</x:v>
      </x:c>
      <x:c r="I23" s="15" t="str">
        <x:f>IF(C23="","Choose content",IF(D23="timeline",IFNA(VLOOKUP(C23,Timelines!$A$2:$D$501,3,FALSE),"Unknown timeline"),IFNA(VLOOKUP(C23,Content!$A$2:$B$501,2,FALSE),"Unknown content")))</x:f>
        <x:v>Habitation map</x:v>
      </x:c>
    </x:row>
    <x:row r="24" ht="34" customHeight="1">
      <x:c r="A24" s="12" t="str">
        <x:v>natural_history_timeline_02_1</x:v>
      </x:c>
      <x:c r="B24" s="12" t="str">
        <x:v>natural_history_timeline_02</x:v>
      </x:c>
      <x:c r="C24" s="12" t="str">
        <x:v>deep_time_evidence</x:v>
      </x:c>
      <x:c r="D24" s="12" t="str">
        <x:v>timeline</x:v>
      </x:c>
      <x:c r="E24" s="13" t="n">
        <x:v>1</x:v>
      </x:c>
      <x:c r="F24" s="12" t="str">
        <x:v>true</x:v>
      </x:c>
      <x:c r="G24" s="15" t="str">
        <x:f>IF(B24="","",IFNA(VLOOKUP(B24,Slots!$A$2:$D$501,2,FALSE),"Unknown slot"))</x:f>
        <x:v>natural_history</x:v>
      </x:c>
      <x:c r="H24" s="15" t="str">
        <x:f>IF(B24="","",IFNA(VLOOKUP(B24,Slots!$A$2:$D$501,4,FALSE),"Unknown slot"))</x:f>
        <x:v>Arrange the evidence</x:v>
      </x:c>
      <x:c r="I24" s="15" t="str">
        <x:f>IF(C24="","Choose content",IF(D24="timeline",IFNA(VLOOKUP(C24,Timelines!$A$2:$D$501,3,FALSE),"Unknown timeline"),IFNA(VLOOKUP(C24,Content!$A$2:$B$501,2,FALSE),"Unknown content")))</x:f>
        <x:v>Natural History Museum</x:v>
      </x:c>
    </x:row>
    <x:row r="25" ht="34" customHeight="1">
      <x:c r="A25" s="12" t="str">
        <x:v>natural_history_inquiry_01_1</x:v>
      </x:c>
      <x:c r="B25" s="12" t="str">
        <x:v>natural_history_inquiry_01</x:v>
      </x:c>
      <x:c r="C25" s="12" t="str">
        <x:v>natural-history-tusk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IF(B25="","",IFNA(VLOOKUP(B25,Slots!$A$2:$D$501,2,FALSE),"Unknown slot"))</x:f>
        <x:v>natural_history</x:v>
      </x:c>
      <x:c r="H25" s="15" t="str">
        <x:f>IF(B25="","",IFNA(VLOOKUP(B25,Slots!$A$2:$D$501,4,FALSE),"Unknown slot"))</x:f>
        <x:v>Ivory inquiry</x:v>
      </x:c>
      <x:c r="I25" s="15" t="str">
        <x:f>IF(C25="","Choose content",IF(D25="timeline",IFNA(VLOOKUP(C25,Timelines!$A$2:$D$501,3,FALSE),"Unknown timeline"),IFNA(VLOOKUP(C25,Content!$A$2:$B$501,2,FALSE),"Unknown content")))</x:f>
        <x:v>Ivory Inquiry Terminal</x:v>
      </x:c>
    </x:row>
    <x:row r="26" ht="34" customHeight="1">
      <x:c r="A26" s="12" t="str">
        <x:v>conservators_office_terminal_01_1</x:v>
      </x:c>
      <x:c r="B26" s="12" t="str">
        <x:v>conservators_office_terminal_01</x:v>
      </x:c>
      <x:c r="C26" s="12" t="str">
        <x:v>conservator-terminal</x:v>
      </x:c>
      <x:c r="D26" s="12" t="str">
        <x:v>tool</x:v>
      </x:c>
      <x:c r="E26" s="13" t="n">
        <x:v>1</x:v>
      </x:c>
      <x:c r="F26" s="12" t="str">
        <x:v>true</x:v>
      </x:c>
      <x:c r="G26" s="15" t="str">
        <x:f>IF(B26="","",IFNA(VLOOKUP(B26,Slots!$A$2:$D$501,2,FALSE),"Unknown slot"))</x:f>
        <x:v>conservators_office</x:v>
      </x:c>
      <x:c r="H26" s="15" t="str">
        <x:f>IF(B26="","",IFNA(VLOOKUP(B26,Slots!$A$2:$D$501,4,FALSE),"Unknown slot"))</x:f>
        <x:v>Desk terminal</x:v>
      </x:c>
      <x:c r="I26" s="15" t="str">
        <x:f>IF(C26="","Choose content",IF(D26="timeline",IFNA(VLOOKUP(C26,Timelines!$A$2:$D$501,3,FALSE),"Unknown timeline"),IFNA(VLOOKUP(C26,Content!$A$2:$B$501,2,FALSE),"Unknown content")))</x:f>
        <x:v>Curation terminal</x:v>
      </x:c>
    </x:row>
    <x:row r="27" ht="34" customHeight="1">
      <x:c r="A27" s="12" t="str">
        <x:v>conservators_office_panel_01_1</x:v>
      </x:c>
      <x:c r="B27" s="12" t="str">
        <x:v>conservators_office_panel_01</x:v>
      </x:c>
      <x:c r="C27" s="12" t="str">
        <x:v>conservators_office_intro</x:v>
      </x:c>
      <x:c r="D27" s="12" t="str">
        <x:v>detail</x:v>
      </x:c>
      <x:c r="E27" s="13" t="n">
        <x:v>1</x:v>
      </x:c>
      <x:c r="F27" s="12" t="str">
        <x:v>true</x:v>
      </x:c>
      <x:c r="G27" s="15" t="str">
        <x:f>IF(B27="","",IFNA(VLOOKUP(B27,Slots!$A$2:$D$501,2,FALSE),"Unknown slot"))</x:f>
        <x:v>conservators_office</x:v>
      </x:c>
      <x:c r="H27" s="15" t="str">
        <x:f>IF(B27="","",IFNA(VLOOKUP(B27,Slots!$A$2:$D$501,4,FALSE),"Unknown slot"))</x:f>
        <x:v>Elephant wall panel</x:v>
      </x:c>
      <x:c r="I27" s="15" t="str">
        <x:f>IF(C27="","Choose content",IF(D27="timeline",IFNA(VLOOKUP(C27,Timelines!$A$2:$D$501,3,FALSE),"Unknown timeline"),IFNA(VLOOKUP(C27,Content!$A$2:$B$501,2,FALSE),"Unknown content")))</x:f>
        <x:v>Conservators Office Intro</x:v>
      </x:c>
    </x:row>
    <x:row r="28" ht="34" customHeight="1">
      <x:c r="A28" s="12" t="str">
        <x:v>lab_attic_context_01_1</x:v>
      </x:c>
      <x:c r="B28" s="12" t="str">
        <x:v>lab_attic_context_01</x:v>
      </x:c>
      <x:c r="C28" s="12" t="str">
        <x:v>lab-attic-sequence</x:v>
      </x:c>
      <x:c r="D28" s="12" t="str">
        <x:v>tool</x:v>
      </x:c>
      <x:c r="E28" s="13" t="n">
        <x:v>1</x:v>
      </x:c>
      <x:c r="F28" s="12" t="str">
        <x:v>true</x:v>
      </x:c>
      <x:c r="G28" s="15" t="str">
        <x:f>IF(B28="","",IFNA(VLOOKUP(B28,Slots!$A$2:$D$501,2,FALSE),"Unknown slot"))</x:f>
        <x:v>lab</x:v>
      </x:c>
      <x:c r="H28" s="15" t="str">
        <x:f>IF(B28="","",IFNA(VLOOKUP(B28,Slots!$A$2:$D$501,4,FALSE),"Unknown slot"))</x:f>
        <x:v>Attic access context</x:v>
      </x:c>
      <x:c r="I28" s="15" t="str">
        <x:f>IF(C28="","Choose content",IF(D28="timeline",IFNA(VLOOKUP(C28,Timelines!$A$2:$D$501,3,FALSE),"Unknown timeline"),IFNA(VLOOKUP(C28,Content!$A$2:$B$501,2,FALSE),"Unknown content")))</x:f>
        <x:v>Attic investigations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IF(B29="","",IFNA(VLOOKUP(B29,Slots!$A$2:$D$501,2,FALSE),"Unknown slot"))</x:f>
        <x:v>historical_society</x:v>
      </x:c>
      <x:c r="H29" s="15" t="str">
        <x:f>IF(B29="","",IFNA(VLOOKUP(B29,Slots!$A$2:$D$501,4,FALSE),"Unknown slot"))</x:f>
        <x:v>Historical Society introduction</x:v>
      </x:c>
      <x:c r="I29" s="15" t="str">
        <x:f>IF(C29="","Choose content",IF(D29="timeline",IFNA(VLOOKUP(C29,Timelines!$A$2:$D$501,3,FALSE),"Unknown timeline"),IFNA(VLOOKUP(C29,Content!$A$2:$B$501,2,FALSE),"Unknown content")))</x:f>
        <x:v>Choose content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IF(B30="","",IFNA(VLOOKUP(B30,Slots!$A$2:$D$501,2,FALSE),"Unknown slot"))</x:f>
        <x:v>attic</x:v>
      </x:c>
      <x:c r="H30" s="15" t="str">
        <x:f>IF(B30="","",IFNA(VLOOKUP(B30,Slots!$A$2:$D$501,4,FALSE),"Unknown slot"))</x:f>
        <x:v>Attic introduction</x:v>
      </x:c>
      <x:c r="I30" s="15" t="str">
        <x:f>IF(C30="","Choose content",IF(D30="timeline",IFNA(VLOOKUP(C30,Timelines!$A$2:$D$501,3,FALSE),"Unknown timeline"),IFNA(VLOOKUP(C30,Content!$A$2:$B$501,2,FALSE),"Unknown content")))</x:f>
        <x:v>Choose content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IF(B31="","",IFNA(VLOOKUP(B31,Slots!$A$2:$D$501,2,FALSE),"Unknown slot"))</x:f>
        <x:v>natural_history</x:v>
      </x:c>
      <x:c r="H31" s="15" t="str">
        <x:f>IF(B31="","",IFNA(VLOOKUP(B31,Slots!$A$2:$D$501,4,FALSE),"Unknown slot"))</x:f>
        <x:v>Natural History Museum introduction</x:v>
      </x:c>
      <x:c r="I31" s="15" t="str">
        <x:f>IF(C31="","Choose content",IF(D31="timeline",IFNA(VLOOKUP(C31,Timelines!$A$2:$D$501,3,FALSE),"Unknown timeline"),IFNA(VLOOKUP(C31,Content!$A$2:$B$501,2,FALSE),"Unknown content")))</x:f>
        <x:v>Choose content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IF(B32="","",IFNA(VLOOKUP(B32,Slots!$A$2:$D$501,2,FALSE),"Unknown slot"))</x:f>
        <x:v>conservators_office</x:v>
      </x:c>
      <x:c r="H32" s="15" t="str">
        <x:f>IF(B32="","",IFNA(VLOOKUP(B32,Slots!$A$2:$D$501,4,FALSE),"Unknown slot"))</x:f>
        <x:v>Conservator's Office introduction</x:v>
      </x:c>
      <x:c r="I32" s="15" t="str">
        <x:f>IF(C32="","Choose content",IF(D32="timeline",IFNA(VLOOKUP(C32,Timelines!$A$2:$D$501,3,FALSE),"Unknown timeline"),IFNA(VLOOKUP(C32,Content!$A$2:$B$501,2,FALSE),"Unknown content")))</x:f>
        <x:v>Choose content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IF(B33="","",IFNA(VLOOKUP(B33,Slots!$A$2:$D$501,2,FALSE),"Unknown slot"))</x:f>
        <x:v>lab</x:v>
      </x:c>
      <x:c r="H33" s="15" t="str">
        <x:f>IF(B33="","",IFNA(VLOOKUP(B33,Slots!$A$2:$D$501,4,FALSE),"Unknown slot"))</x:f>
        <x:v>Lab introduction</x:v>
      </x:c>
      <x:c r="I33" s="15" t="str">
        <x:f>IF(C33="","Choose content",IF(D33="timeline",IFNA(VLOOKUP(C33,Timelines!$A$2:$D$501,3,FALSE),"Unknown timeline"),IFNA(VLOOKUP(C33,Content!$A$2:$B$501,2,FALSE),"Unknown content")))</x:f>
        <x:v>Choose content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IF(B34="","",IFNA(VLOOKUP(B34,Slots!$A$2:$D$501,2,FALSE),"Unknown slot"))</x:f>
        <x:v>gallery</x:v>
      </x:c>
      <x:c r="H34" s="15" t="str">
        <x:f>IF(B34="","",IFNA(VLOOKUP(B34,Slots!$A$2:$D$501,4,FALSE),"Unknown slot"))</x:f>
        <x:v>Rear round display</x:v>
      </x:c>
      <x:c r="I34" s="15" t="str">
        <x:f>IF(C34="","Choose content",IF(D34="timeline",IFNA(VLOOKUP(C34,Timelines!$A$2:$D$501,3,FALSE),"Unknown timeline"),IFNA(VLOOKUP(C34,Content!$A$2:$B$501,2,FALSE),"Unknown content")))</x:f>
        <x:v>Choose content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IF(B35="","",IFNA(VLOOKUP(B35,Slots!$A$2:$D$501,2,FALSE),"Unknown slot"))</x:f>
        <x:v>historical_society</x:v>
      </x:c>
      <x:c r="H35" s="15" t="str">
        <x:f>IF(B35="","",IFNA(VLOOKUP(B35,Slots!$A$2:$D$501,4,FALSE),"Unknown slot"))</x:f>
        <x:v>Window-side case</x:v>
      </x:c>
      <x:c r="I35" s="15" t="str">
        <x:f>IF(C35="","Choose content",IF(D35="timeline",IFNA(VLOOKUP(C35,Timelines!$A$2:$D$501,3,FALSE),"Unknown timeline"),IFNA(VLOOKUP(C35,Content!$A$2:$B$501,2,FALSE),"Unknown content")))</x:f>
        <x:v>Choose content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IF(B36="","",IFNA(VLOOKUP(B36,Slots!$A$2:$D$501,2,FALSE),"Unknown slot"))</x:f>
        <x:v>historical_society</x:v>
      </x:c>
      <x:c r="H36" s="15" t="str">
        <x:f>IF(B36="","",IFNA(VLOOKUP(B36,Slots!$A$2:$D$501,4,FALSE),"Unknown slot"))</x:f>
        <x:v>Foreground-right case</x:v>
      </x:c>
      <x:c r="I36" s="15" t="str">
        <x:f>IF(C36="","Choose content",IF(D36="timeline",IFNA(VLOOKUP(C36,Timelines!$A$2:$D$501,3,FALSE),"Unknown timeline"),IFNA(VLOOKUP(C36,Content!$A$2:$B$501,2,FALSE),"Unknown content")))</x:f>
        <x:v>Choose content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IF(B37="","",IFNA(VLOOKUP(B37,Slots!$A$2:$D$501,2,FALSE),"Unknown slot"))</x:f>
        <x:v>attic</x:v>
      </x:c>
      <x:c r="H37" s="15" t="str">
        <x:f>IF(B37="","",IFNA(VLOOKUP(B37,Slots!$A$2:$D$501,4,FALSE),"Unknown slot"))</x:f>
        <x:v>Left open trunk</x:v>
      </x:c>
      <x:c r="I37" s="15" t="str">
        <x:f>IF(C37="","Choose content",IF(D37="timeline",IFNA(VLOOKUP(C37,Timelines!$A$2:$D$501,3,FALSE),"Unknown timeline"),IFNA(VLOOKUP(C37,Content!$A$2:$B$501,2,FALSE),"Unknown content")))</x:f>
        <x:v>Choose content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IF(B38="","",IFNA(VLOOKUP(B38,Slots!$A$2:$D$501,2,FALSE),"Unknown slot"))</x:f>
        <x:v>attic</x:v>
      </x:c>
      <x:c r="H38" s="15" t="str">
        <x:f>IF(B38="","",IFNA(VLOOKUP(B38,Slots!$A$2:$D$501,4,FALSE),"Unknown slot"))</x:f>
        <x:v>Right open trunk</x:v>
      </x:c>
      <x:c r="I38" s="15" t="str">
        <x:f>IF(C38="","Choose content",IF(D38="timeline",IFNA(VLOOKUP(C38,Timelines!$A$2:$D$501,3,FALSE),"Unknown timeline"),IFNA(VLOOKUP(C38,Content!$A$2:$B$501,2,FALSE),"Unknown content")))</x:f>
        <x:v>Choose content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IF(B39="","",IFNA(VLOOKUP(B39,Slots!$A$2:$D$501,2,FALSE),"Unknown slot"))</x:f>
        <x:v>attic</x:v>
      </x:c>
      <x:c r="H39" s="15" t="str">
        <x:f>IF(B39="","",IFNA(VLOOKUP(B39,Slots!$A$2:$D$501,4,FALSE),"Unknown slot"))</x:f>
        <x:v>Shelving</x:v>
      </x:c>
      <x:c r="I39" s="15" t="str">
        <x:f>IF(C39="","Choose content",IF(D39="timeline",IFNA(VLOOKUP(C39,Timelines!$A$2:$D$501,3,FALSE),"Unknown timeline"),IFNA(VLOOKUP(C39,Content!$A$2:$B$501,2,FALSE),"Unknown content")))</x:f>
        <x:v>Choose content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IF(B40="","",IFNA(VLOOKUP(B40,Slots!$A$2:$D$501,2,FALSE),"Unknown slot"))</x:f>
        <x:v>attic</x:v>
      </x:c>
      <x:c r="H40" s="15" t="str">
        <x:f>IF(B40="","",IFNA(VLOOKUP(B40,Slots!$A$2:$D$501,4,FALSE),"Unknown slot"))</x:f>
        <x:v>Research table</x:v>
      </x:c>
      <x:c r="I40" s="15" t="str">
        <x:f>IF(C40="","Choose content",IF(D40="timeline",IFNA(VLOOKUP(C40,Timelines!$A$2:$D$501,3,FALSE),"Unknown timeline"),IFNA(VLOOKUP(C40,Content!$A$2:$B$501,2,FALSE),"Unknown content")))</x:f>
        <x:v>Choose content</x:v>
      </x:c>
    </x:row>
    <x:row r="41" ht="34" customHeight="1">
      <x:c r="A41" s="12" t="str">
        <x:v>draft_natural_history_panel_02</x:v>
      </x:c>
      <x:c r="B41" s="12" t="str">
        <x:v>natural_history_panel_02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IF(B41="","",IFNA(VLOOKUP(B41,Slots!$A$2:$D$501,2,FALSE),"Unknown slot"))</x:f>
        <x:v>natural_history</x:v>
      </x:c>
      <x:c r="H41" s="15" t="str">
        <x:f>IF(B41="","",IFNA(VLOOKUP(B41,Slots!$A$2:$D$501,4,FALSE),"Unknown slot"))</x:f>
        <x:v>Central recessed panel</x:v>
      </x:c>
      <x:c r="I41" s="15" t="str">
        <x:f>IF(C41="","Choose content",IF(D41="timeline",IFNA(VLOOKUP(C41,Timelines!$A$2:$D$501,3,FALSE),"Unknown timeline"),IFNA(VLOOKUP(C41,Content!$A$2:$B$501,2,FALSE),"Unknown content")))</x:f>
        <x:v>Choose content</x:v>
      </x:c>
    </x:row>
    <x:row r="42" ht="34" customHeight="1">
      <x:c r="A42" s="12" t="str">
        <x:v>draft_conservators_office_shelves_01</x:v>
      </x:c>
      <x:c r="B42" s="12" t="str">
        <x:v>conservators_office_shelves_01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IF(B42="","",IFNA(VLOOKUP(B42,Slots!$A$2:$D$501,2,FALSE),"Unknown slot"))</x:f>
        <x:v>conservators_office</x:v>
      </x:c>
      <x:c r="H42" s="15" t="str">
        <x:f>IF(B42="","",IFNA(VLOOKUP(B42,Slots!$A$2:$D$501,4,FALSE),"Unknown slot"))</x:f>
        <x:v>Left shelving</x:v>
      </x:c>
      <x:c r="I42" s="15" t="str">
        <x:f>IF(C42="","Choose content",IF(D42="timeline",IFNA(VLOOKUP(C42,Timelines!$A$2:$D$501,3,FALSE),"Unknown timeline"),IFNA(VLOOKUP(C42,Content!$A$2:$B$501,2,FALSE),"Unknown content")))</x:f>
        <x:v>Choose content</x:v>
      </x:c>
    </x:row>
    <x:row r="43" ht="34" customHeight="1">
      <x:c r="A43" s="12" t="str">
        <x:v>draft_conservators_office_shelves_02</x:v>
      </x:c>
      <x:c r="B43" s="12" t="str">
        <x:v>conservators_office_shelves_02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IF(B43="","",IFNA(VLOOKUP(B43,Slots!$A$2:$D$501,2,FALSE),"Unknown slot"))</x:f>
        <x:v>conservators_office</x:v>
      </x:c>
      <x:c r="H43" s="15" t="str">
        <x:f>IF(B43="","",IFNA(VLOOKUP(B43,Slots!$A$2:$D$501,4,FALSE),"Unknown slot"))</x:f>
        <x:v>Rear shelving</x:v>
      </x:c>
      <x:c r="I43" s="15" t="str">
        <x:f>IF(C43="","Choose content",IF(D43="timeline",IFNA(VLOOKUP(C43,Timelines!$A$2:$D$501,3,FALSE),"Unknown timeline"),IFNA(VLOOKUP(C43,Content!$A$2:$B$501,2,FALSE),"Unknown content")))</x:f>
        <x:v>Choose content</x:v>
      </x:c>
    </x:row>
    <x:row r="44" ht="34" customHeight="1">
      <x:c r="A44" s="12" t="str">
        <x:v>draft_conservators_office_shelves_03</x:v>
      </x:c>
      <x:c r="B44" s="12" t="str">
        <x:v>conservators_office_shelves_03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IF(B44="","",IFNA(VLOOKUP(B44,Slots!$A$2:$D$501,2,FALSE),"Unknown slot"))</x:f>
        <x:v>conservators_office</x:v>
      </x:c>
      <x:c r="H44" s="15" t="str">
        <x:f>IF(B44="","",IFNA(VLOOKUP(B44,Slots!$A$2:$D$501,4,FALSE),"Unknown slot"))</x:f>
        <x:v>Right shelving</x:v>
      </x:c>
      <x:c r="I44" s="15" t="str">
        <x:f>IF(C44="","Choose content",IF(D44="timeline",IFNA(VLOOKUP(C44,Timelines!$A$2:$D$501,3,FALSE),"Unknown timeline"),IFNA(VLOOKUP(C44,Content!$A$2:$B$501,2,FALSE),"Unknown content")))</x:f>
        <x:v>Choose content</x:v>
      </x:c>
    </x:row>
    <x:row r="45" ht="34" customHeight="1">
      <x:c r="A45" s="12" t="str">
        <x:v>draft_lab_bench_01</x:v>
      </x:c>
      <x:c r="B45" s="12" t="str">
        <x:v>lab_bench_01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IF(B45="","",IFNA(VLOOKUP(B45,Slots!$A$2:$D$501,2,FALSE),"Unknown slot"))</x:f>
        <x:v>lab</x:v>
      </x:c>
      <x:c r="H45" s="15" t="str">
        <x:f>IF(B45="","",IFNA(VLOOKUP(B45,Slots!$A$2:$D$501,4,FALSE),"Unknown slot"))</x:f>
        <x:v>Analysis bench</x:v>
      </x:c>
      <x:c r="I45" s="15" t="str">
        <x:f>IF(C45="","Choose content",IF(D45="timeline",IFNA(VLOOKUP(C45,Timelines!$A$2:$D$501,3,FALSE),"Unknown timeline"),IFNA(VLOOKUP(C45,Content!$A$2:$B$501,2,FALSE),"Unknown content")))</x:f>
        <x:v>Choose content</x:v>
      </x:c>
    </x:row>
    <x:row r="46" ht="34" customHeight="1">
      <x:c r="A46" s="12" t="str">
        <x:v>draft_lab_equipment_01</x:v>
      </x:c>
      <x:c r="B46" s="12" t="str">
        <x:v>lab_equipment_01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IF(B46="","",IFNA(VLOOKUP(B46,Slots!$A$2:$D$501,2,FALSE),"Unknown slot"))</x:f>
        <x:v>lab</x:v>
      </x:c>
      <x:c r="H46" s="15" t="str">
        <x:f>IF(B46="","",IFNA(VLOOKUP(B46,Slots!$A$2:$D$501,4,FALSE),"Unknown slot"))</x:f>
        <x:v>Equipment</x:v>
      </x:c>
      <x:c r="I46" s="15" t="str">
        <x:f>IF(C46="","Choose content",IF(D46="timeline",IFNA(VLOOKUP(C46,Timelines!$A$2:$D$501,3,FALSE),"Unknown timeline"),IFNA(VLOOKUP(C46,Content!$A$2:$B$501,2,FALSE),"Unknown content")))</x:f>
        <x:v>Choose content</x:v>
      </x:c>
    </x:row>
    <x:row r="47" ht="34" customHeight="1">
      <x:c r="A47" s="12" t="str">
        <x:v>draft_lab_cabinet_01</x:v>
      </x:c>
      <x:c r="B47" s="12" t="str">
        <x:v>lab_cabinet_01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IF(B47="","",IFNA(VLOOKUP(B47,Slots!$A$2:$D$501,2,FALSE),"Unknown slot"))</x:f>
        <x:v>lab</x:v>
      </x:c>
      <x:c r="H47" s="15" t="str">
        <x:f>IF(B47="","",IFNA(VLOOKUP(B47,Slots!$A$2:$D$501,4,FALSE),"Unknown slot"))</x:f>
        <x:v>Left cabinet</x:v>
      </x:c>
      <x:c r="I47" s="15" t="str">
        <x:f>IF(C47="","Choose content",IF(D47="timeline",IFNA(VLOOKUP(C47,Timelines!$A$2:$D$501,3,FALSE),"Unknown timeline"),IFNA(VLOOKUP(C47,Content!$A$2:$B$501,2,FALSE),"Unknown content")))</x:f>
        <x:v>Choose content</x:v>
      </x:c>
    </x:row>
    <x:row r="48" ht="34" customHeight="1">
      <x:c r="A48" s="12" t="str">
        <x:v>draft_lab_cabinet_02</x:v>
      </x:c>
      <x:c r="B48" s="12" t="str">
        <x:v>lab_cabinet_02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IF(B48="","",IFNA(VLOOKUP(B48,Slots!$A$2:$D$501,2,FALSE),"Unknown slot"))</x:f>
        <x:v>lab</x:v>
      </x:c>
      <x:c r="H48" s="15" t="str">
        <x:f>IF(B48="","",IFNA(VLOOKUP(B48,Slots!$A$2:$D$501,4,FALSE),"Unknown slot"))</x:f>
        <x:v>Right cabinet</x:v>
      </x:c>
      <x:c r="I48" s="15" t="str">
        <x:f>IF(C48="","Choose content",IF(D48="timeline",IFNA(VLOOKUP(C48,Timelines!$A$2:$D$501,3,FALSE),"Unknown timeline"),IFNA(VLOOKUP(C48,Content!$A$2:$B$501,2,FALSE),"Unknown content")))</x:f>
        <x:v>Choose content</x:v>
      </x:c>
    </x:row>
    <x:row r="49" ht="32" customHeight="1">
      <x:c r="A49" s="12"/>
      <x:c r="B49" s="12"/>
      <x:c r="C49" s="12"/>
      <x:c r="D49" s="12"/>
      <x:c r="E49" s="13"/>
      <x:c r="F49" s="12"/>
      <x:c r="G49" s="15" t="str">
        <x:f>IF(B49="","",IFNA(VLOOKUP(B49,Slots!$A$2:$D$501,2,FALSE),"Unknown slot"))</x:f>
      </x:c>
      <x:c r="H49" s="15" t="str">
        <x:f>IF(B49="","",IFNA(VLOOKUP(B49,Slots!$A$2:$D$501,4,FALSE),"Unknown slot"))</x:f>
      </x:c>
      <x:c r="I49" s="15" t="str">
        <x:f>IF(C49="","Choose content",IF(D49="timeline",IFNA(VLOOKUP(C49,Timelines!$A$2:$D$501,3,FALSE),"Unknown timeline"),IFNA(VLOOKUP(C49,Content!$A$2:$B$501,2,FALSE),"Unknown content")))</x:f>
        <x:v>Choose content</x:v>
      </x:c>
    </x:row>
    <x:row r="50" ht="32" customHeight="1">
      <x:c r="A50" s="12"/>
      <x:c r="B50" s="12"/>
      <x:c r="C50" s="12"/>
      <x:c r="D50" s="12"/>
      <x:c r="E50" s="13"/>
      <x:c r="F50" s="12"/>
      <x:c r="G50" s="15" t="str">
        <x:f>IF(B50="","",IFNA(VLOOKUP(B50,Slots!$A$2:$D$501,2,FALSE),"Unknown slot"))</x:f>
      </x:c>
      <x:c r="H50" s="15" t="str">
        <x:f>IF(B50="","",IFNA(VLOOKUP(B50,Slots!$A$2:$D$501,4,FALSE),"Unknown slot"))</x:f>
      </x:c>
      <x:c r="I50" s="15" t="str">
        <x:f>IF(C50="","Choose content",IF(D50="timeline",IFNA(VLOOKUP(C50,Timelines!$A$2:$D$501,3,FALSE),"Unknown timeline"),IFNA(VLOOKUP(C50,Content!$A$2:$B$501,2,FALSE),"Unknown content")))</x:f>
        <x:v>Choose content</x:v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IF(B51="","",IFNA(VLOOKUP(B51,Slots!$A$2:$D$501,2,FALSE),"Unknown slot"))</x:f>
      </x:c>
      <x:c r="H51" s="15" t="str">
        <x:f>IF(B51="","",IFNA(VLOOKUP(B51,Slots!$A$2:$D$501,4,FALSE),"Unknown slot"))</x:f>
      </x:c>
      <x:c r="I51" s="15" t="str">
        <x:f>IF(C51="","Choose content",IF(D51="timeline",IFNA(VLOOKUP(C51,Timelines!$A$2:$D$501,3,FALSE),"Unknown timeline"),IFNA(VLOOKUP(C51,Content!$A$2:$B$501,2,FALSE),"Unknown content")))</x:f>
        <x:v>Choose content</x:v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IF(B52="","",IFNA(VLOOKUP(B52,Slots!$A$2:$D$501,2,FALSE),"Unknown slot"))</x:f>
      </x:c>
      <x:c r="H52" s="15" t="str">
        <x:f>IF(B52="","",IFNA(VLOOKUP(B52,Slots!$A$2:$D$501,4,FALSE),"Unknown slot"))</x:f>
      </x:c>
      <x:c r="I52" s="15" t="str">
        <x:f>IF(C52="","Choose content",IF(D52="timeline",IFNA(VLOOKUP(C52,Timelines!$A$2:$D$501,3,FALSE),"Unknown timeline"),IFNA(VLOOKUP(C52,Content!$A$2:$B$501,2,FALSE),"Unknown content")))</x:f>
        <x:v>Choose content</x:v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IF(B53="","",IFNA(VLOOKUP(B53,Slots!$A$2:$D$501,2,FALSE),"Unknown slot"))</x:f>
      </x:c>
      <x:c r="H53" s="15" t="str">
        <x:f>IF(B53="","",IFNA(VLOOKUP(B53,Slots!$A$2:$D$501,4,FALSE),"Unknown slot"))</x:f>
      </x:c>
      <x:c r="I53" s="15" t="str">
        <x:f>IF(C53="","Choose content",IF(D53="timeline",IFNA(VLOOKUP(C53,Timelines!$A$2:$D$501,3,FALSE),"Unknown timeline"),IFNA(VLOOKUP(C53,Content!$A$2:$B$501,2,FALSE),"Unknown content")))</x:f>
        <x:v>Choose content</x:v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IF(B54="","",IFNA(VLOOKUP(B54,Slots!$A$2:$D$501,2,FALSE),"Unknown slot"))</x:f>
      </x:c>
      <x:c r="H54" s="15" t="str">
        <x:f>IF(B54="","",IFNA(VLOOKUP(B54,Slots!$A$2:$D$501,4,FALSE),"Unknown slot"))</x:f>
      </x:c>
      <x:c r="I54" s="15" t="str">
        <x:f>IF(C54="","Choose content",IF(D54="timeline",IFNA(VLOOKUP(C54,Timelines!$A$2:$D$501,3,FALSE),"Unknown timeline"),IFNA(VLOOKUP(C54,Content!$A$2:$B$501,2,FALSE),"Unknown content")))</x:f>
        <x:v>Choose content</x:v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IF(B55="","",IFNA(VLOOKUP(B55,Slots!$A$2:$D$501,2,FALSE),"Unknown slot"))</x:f>
      </x:c>
      <x:c r="H55" s="15" t="str">
        <x:f>IF(B55="","",IFNA(VLOOKUP(B55,Slots!$A$2:$D$501,4,FALSE),"Unknown slot"))</x:f>
      </x:c>
      <x:c r="I55" s="15" t="str">
        <x:f>IF(C55="","Choose content",IF(D55="timeline",IFNA(VLOOKUP(C55,Timelines!$A$2:$D$501,3,FALSE),"Unknown timeline"),IFNA(VLOOKUP(C55,Content!$A$2:$B$501,2,FALSE),"Unknown content")))</x:f>
        <x:v>Choose content</x:v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IF(B56="","",IFNA(VLOOKUP(B56,Slots!$A$2:$D$501,2,FALSE),"Unknown slot"))</x:f>
      </x:c>
      <x:c r="H56" s="15" t="str">
        <x:f>IF(B56="","",IFNA(VLOOKUP(B56,Slots!$A$2:$D$501,4,FALSE),"Unknown slot"))</x:f>
      </x:c>
      <x:c r="I56" s="15" t="str">
        <x:f>IF(C56="","Choose content",IF(D56="timeline",IFNA(VLOOKUP(C56,Timelines!$A$2:$D$501,3,FALSE),"Unknown timeline"),IFNA(VLOOKUP(C56,Content!$A$2:$B$501,2,FALSE),"Unknown content")))</x:f>
        <x:v>Choose content</x:v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IF(B57="","",IFNA(VLOOKUP(B57,Slots!$A$2:$D$501,2,FALSE),"Unknown slot"))</x:f>
      </x:c>
      <x:c r="H57" s="15" t="str">
        <x:f>IF(B57="","",IFNA(VLOOKUP(B57,Slots!$A$2:$D$501,4,FALSE),"Unknown slot"))</x:f>
      </x:c>
      <x:c r="I57" s="15" t="str">
        <x:f>IF(C57="","Choose content",IF(D57="timeline",IFNA(VLOOKUP(C57,Timelines!$A$2:$D$501,3,FALSE),"Unknown timeline"),IFNA(VLOOKUP(C57,Content!$A$2:$B$501,2,FALSE),"Unknown content")))</x:f>
        <x:v>Choose content</x:v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IF(B58="","",IFNA(VLOOKUP(B58,Slots!$A$2:$D$501,2,FALSE),"Unknown slot"))</x:f>
      </x:c>
      <x:c r="H58" s="15" t="str">
        <x:f>IF(B58="","",IFNA(VLOOKUP(B58,Slots!$A$2:$D$501,4,FALSE),"Unknown slot"))</x:f>
      </x:c>
      <x:c r="I58" s="15" t="str">
        <x:f>IF(C58="","Choose content",IF(D58="timeline",IFNA(VLOOKUP(C58,Timelines!$A$2:$D$501,3,FALSE),"Unknown timeline"),IFNA(VLOOKUP(C58,Content!$A$2:$B$501,2,FALSE),"Unknown content")))</x:f>
        <x:v>Choose content</x:v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IF(B59="","",IFNA(VLOOKUP(B59,Slots!$A$2:$D$501,2,FALSE),"Unknown slot"))</x:f>
      </x:c>
      <x:c r="H59" s="15" t="str">
        <x:f>IF(B59="","",IFNA(VLOOKUP(B59,Slots!$A$2:$D$501,4,FALSE),"Unknown slot"))</x:f>
      </x:c>
      <x:c r="I59" s="15" t="str">
        <x:f>IF(C59="","Choose content",IF(D59="timeline",IFNA(VLOOKUP(C59,Timelines!$A$2:$D$501,3,FALSE),"Unknown timeline"),IFNA(VLOOKUP(C59,Content!$A$2:$B$501,2,FALSE),"Unknown content")))</x:f>
        <x:v>Choose content</x:v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IF(B60="","",IFNA(VLOOKUP(B60,Slots!$A$2:$D$501,2,FALSE),"Unknown slot"))</x:f>
      </x:c>
      <x:c r="H60" s="15" t="str">
        <x:f>IF(B60="","",IFNA(VLOOKUP(B60,Slots!$A$2:$D$501,4,FALSE),"Unknown slot"))</x:f>
      </x:c>
      <x:c r="I60" s="15" t="str">
        <x:f>IF(C60="","Choose content",IF(D60="timeline",IFNA(VLOOKUP(C60,Timelines!$A$2:$D$501,3,FALSE),"Unknown timeline"),IFNA(VLOOKUP(C60,Content!$A$2:$B$501,2,FALSE),"Unknown content")))</x:f>
        <x:v>Choose content</x:v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IF(B61="","",IFNA(VLOOKUP(B61,Slots!$A$2:$D$501,2,FALSE),"Unknown slot"))</x:f>
      </x:c>
      <x:c r="H61" s="15" t="str">
        <x:f>IF(B61="","",IFNA(VLOOKUP(B61,Slots!$A$2:$D$501,4,FALSE),"Unknown slot"))</x:f>
      </x:c>
      <x:c r="I61" s="15" t="str">
        <x:f>IF(C61="","Choose content",IF(D61="timeline",IFNA(VLOOKUP(C61,Timelines!$A$2:$D$501,3,FALSE),"Unknown timeline"),IFNA(VLOOKUP(C61,Content!$A$2:$B$501,2,FALSE),"Unknown content")))</x:f>
        <x:v>Choose content</x:v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IF(B62="","",IFNA(VLOOKUP(B62,Slots!$A$2:$D$501,2,FALSE),"Unknown slot"))</x:f>
      </x:c>
      <x:c r="H62" s="15" t="str">
        <x:f>IF(B62="","",IFNA(VLOOKUP(B62,Slots!$A$2:$D$501,4,FALSE),"Unknown slot"))</x:f>
      </x:c>
      <x:c r="I62" s="15" t="str">
        <x:f>IF(C62="","Choose content",IF(D62="timeline",IFNA(VLOOKUP(C62,Timelines!$A$2:$D$501,3,FALSE),"Unknown timeline"),IFNA(VLOOKUP(C62,Content!$A$2:$B$501,2,FALSE),"Unknown content")))</x:f>
        <x:v>Choose content</x:v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IF(B63="","",IFNA(VLOOKUP(B63,Slots!$A$2:$D$501,2,FALSE),"Unknown slot"))</x:f>
      </x:c>
      <x:c r="H63" s="15" t="str">
        <x:f>IF(B63="","",IFNA(VLOOKUP(B63,Slots!$A$2:$D$501,4,FALSE),"Unknown slot"))</x:f>
      </x:c>
      <x:c r="I63" s="15" t="str">
        <x:f>IF(C63="","Choose content",IF(D63="timeline",IFNA(VLOOKUP(C63,Timelines!$A$2:$D$501,3,FALSE),"Unknown timeline"),IFNA(VLOOKUP(C63,Content!$A$2:$B$501,2,FALSE),"Unknown content")))</x:f>
        <x:v>Choose content</x:v>
      </x:c>
    </x:row>
  </x:sheetData>
  <x:conditionalFormatting sqref="C2:C63">
    <x:cfRule type="expression" dxfId="0" priority="1">
      <x:formula>AND($A2&lt;&gt;"",$C2="")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e5a1abd8384241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trigger:.welcome-mantle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2" customHeight="1">
      <x:c r="A27" s="12"/>
      <x:c r="B27" s="12"/>
      <x:c r="C27" s="12"/>
      <x:c r="D27" s="12"/>
      <x:c r="E27" s="16"/>
      <x:c r="F27" s="12"/>
      <x:c r="G27" s="12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52e63debfe484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</x:row>
    <x:row r="16" ht="60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</x:row>
    <x:row r="17" ht="76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</x:row>
  </x:sheetData>
  <x:dataValidations count="1"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516145e6f2461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</x:row>
    <x:row r="5" ht="60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</x:row>
    <x:row r="6" ht="32" customHeight="1">
      <x:c r="A6" s="12"/>
      <x:c r="B6" s="12"/>
      <x:c r="C6" s="12"/>
      <x:c r="D6" s="12"/>
      <x:c r="E6" s="12"/>
      <x:c r="F6" s="12"/>
    </x:row>
    <x:row r="7" ht="32" customHeight="1">
      <x:c r="A7" s="12"/>
      <x:c r="B7" s="12"/>
      <x:c r="C7" s="12"/>
      <x:c r="D7" s="12"/>
      <x:c r="E7" s="12"/>
      <x:c r="F7" s="12"/>
    </x:row>
    <x:row r="8" ht="32" customHeight="1">
      <x:c r="A8" s="12"/>
      <x:c r="B8" s="12"/>
      <x:c r="C8" s="12"/>
      <x:c r="D8" s="12"/>
      <x:c r="E8" s="12"/>
      <x:c r="F8" s="12"/>
    </x:row>
    <x:row r="9" ht="32" customHeight="1">
      <x:c r="A9" s="12"/>
      <x:c r="B9" s="12"/>
      <x:c r="C9" s="12"/>
      <x:c r="D9" s="12"/>
      <x:c r="E9" s="12"/>
      <x:c r="F9" s="12"/>
    </x:row>
    <x:row r="10" ht="32" customHeight="1">
      <x:c r="A10" s="12"/>
      <x:c r="B10" s="12"/>
      <x:c r="C10" s="12"/>
      <x:c r="D10" s="12"/>
      <x:c r="E10" s="12"/>
      <x:c r="F10" s="12"/>
    </x:row>
    <x:row r="11" ht="32" customHeight="1">
      <x:c r="A11" s="12"/>
      <x:c r="B11" s="12"/>
      <x:c r="C11" s="12"/>
      <x:c r="D11" s="12"/>
      <x:c r="E11" s="12"/>
      <x:c r="F11" s="12"/>
    </x:row>
    <x:row r="12" ht="32" customHeight="1">
      <x:c r="A12" s="12"/>
      <x:c r="B12" s="12"/>
      <x:c r="C12" s="12"/>
      <x:c r="D12" s="12"/>
      <x:c r="E12" s="12"/>
      <x:c r="F12" s="12"/>
    </x:row>
    <x:row r="13" ht="32" customHeight="1">
      <x:c r="A13" s="12"/>
      <x:c r="B13" s="12"/>
      <x:c r="C13" s="12"/>
      <x:c r="D13" s="12"/>
      <x:c r="E13" s="12"/>
      <x:c r="F13" s="12"/>
    </x:row>
    <x:row r="14" ht="32" customHeight="1">
      <x:c r="A14" s="12"/>
      <x:c r="B14" s="12"/>
      <x:c r="C14" s="12"/>
      <x:c r="D14" s="12"/>
      <x:c r="E14" s="12"/>
      <x:c r="F14" s="12"/>
    </x:row>
    <x:row r="15" ht="32" customHeight="1">
      <x:c r="A15" s="12"/>
      <x:c r="B15" s="12"/>
      <x:c r="C15" s="12"/>
      <x:c r="D15" s="12"/>
      <x:c r="E15" s="12"/>
      <x:c r="F15" s="12"/>
    </x:row>
    <x:row r="16" ht="32" customHeight="1">
      <x:c r="A16" s="12"/>
      <x:c r="B16" s="12"/>
      <x:c r="C16" s="12"/>
      <x:c r="D16" s="12"/>
      <x:c r="E16" s="12"/>
      <x:c r="F16" s="12"/>
    </x:row>
    <x:row r="17" ht="32" customHeight="1">
      <x:c r="A17" s="12"/>
      <x:c r="B17" s="12"/>
      <x:c r="C17" s="12"/>
      <x:c r="D17" s="12"/>
      <x:c r="E17" s="12"/>
      <x:c r="F17" s="12"/>
    </x:row>
    <x:row r="18" ht="32" customHeight="1">
      <x:c r="A18" s="12"/>
      <x:c r="B18" s="12"/>
      <x:c r="C18" s="12"/>
      <x:c r="D18" s="12"/>
      <x:c r="E18" s="12"/>
      <x:c r="F18" s="12"/>
    </x:row>
    <x:row r="19" ht="32" customHeight="1">
      <x:c r="A19" s="12"/>
      <x:c r="B19" s="12"/>
      <x:c r="C19" s="12"/>
      <x:c r="D19" s="12"/>
      <x:c r="E19" s="12"/>
      <x:c r="F19" s="12"/>
    </x:row>
    <x:row r="20" ht="32" customHeight="1">
      <x:c r="A20" s="12"/>
      <x:c r="B20" s="12"/>
      <x:c r="C20" s="12"/>
      <x:c r="D20" s="12"/>
      <x:c r="E20" s="12"/>
      <x:c r="F20" s="12"/>
    </x:row>
  </x:sheetData>
  <x:pageMargins left="0.7" right="0.7" top="0.75" bottom="0.75" header="0.3" footer="0.3"/>
  <x:tableParts count="1">
    <x:tablePart xmlns:r="http://schemas.openxmlformats.org/officeDocument/2006/relationships" r:id="R289302938c33497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2791391a49409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34" customHeight="1">
      <x:c r="A33" s="17" t="str">
        <x:v>natural_history_timeline_01</x:v>
      </x:c>
      <x:c r="B33" s="17" t="str">
        <x:v>natural_history</x:v>
      </x:c>
      <x:c r="C33" s="17" t="str">
        <x:v>timeline</x:v>
      </x:c>
      <x:c r="D33" s="17" t="str">
        <x:v>Deep-time explorer</x:v>
      </x:c>
      <x:c r="E33" s="17" t="str">
        <x:v>tool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/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34" customHeight="1">
      <x:c r="A35" s="17" t="str">
        <x:v>natural_history_timeline_02</x:v>
      </x:c>
      <x:c r="B35" s="17" t="str">
        <x:v>natural_history</x:v>
      </x:c>
      <x:c r="C35" s="17" t="str">
        <x:v>timeline</x:v>
      </x:c>
      <x:c r="D35" s="17" t="str">
        <x:v>Arrange the evidence</x:v>
      </x:c>
      <x:c r="E35" s="17" t="str">
        <x:v>timeline</x:v>
      </x:c>
      <x:c r="F35" s="18" t="n">
        <x:v>1</x:v>
      </x:c>
      <x:c r="G35" s="16" t="str">
        <x:v>natural_history_timeline_02_anchor</x:v>
      </x:c>
      <x:c r="H35" s="17" t="str">
        <x:v>true</x:v>
      </x:c>
      <x:c r="I35" s="17" t="str"/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conservators_office_terminal_01</x:v>
      </x:c>
      <x:c r="B37" s="17" t="str">
        <x:v>conservators_office</x:v>
      </x:c>
      <x:c r="C37" s="17" t="str">
        <x:v>terminal</x:v>
      </x:c>
      <x:c r="D37" s="17" t="str">
        <x:v>Desk terminal</x:v>
      </x:c>
      <x:c r="E37" s="17" t="str">
        <x:v>tool</x:v>
      </x:c>
      <x:c r="F37" s="18" t="n">
        <x:v>1</x:v>
      </x:c>
      <x:c r="G37" s="16" t="str">
        <x:v>conservators_office_terminal_01_anchor</x:v>
      </x:c>
      <x:c r="H37" s="17" t="str">
        <x:v>true</x:v>
      </x:c>
      <x:c r="I37" s="17" t="str"/>
      <x:c r="J37" s="17" t="str"/>
    </x:row>
    <x:row r="38" ht="34" customHeight="1">
      <x:c r="A38" s="17" t="str">
        <x:v>conservators_office_shelves_01</x:v>
      </x:c>
      <x:c r="B38" s="17" t="str">
        <x:v>conservators_office</x:v>
      </x:c>
      <x:c r="C38" s="17" t="str">
        <x:v>shelves</x:v>
      </x:c>
      <x:c r="D38" s="17" t="str">
        <x:v>Left shelving</x:v>
      </x:c>
      <x:c r="E38" s="17" t="str">
        <x:v>collection</x:v>
      </x:c>
      <x:c r="F38" s="18" t="n">
        <x:v>8</x:v>
      </x:c>
      <x:c r="G38" s="16" t="str">
        <x:v>conservators_office_shelves_01_anchor</x:v>
      </x:c>
      <x:c r="H38" s="17" t="str">
        <x:v>true</x:v>
      </x:c>
      <x:c r="I38" s="17" t="str"/>
      <x:c r="J38" s="17" t="str"/>
    </x:row>
    <x:row r="39" ht="34" customHeight="1">
      <x:c r="A39" s="17" t="str">
        <x:v>conservators_office_shelves_02</x:v>
      </x:c>
      <x:c r="B39" s="17" t="str">
        <x:v>conservators_office</x:v>
      </x:c>
      <x:c r="C39" s="17" t="str">
        <x:v>shelves</x:v>
      </x:c>
      <x:c r="D39" s="17" t="str">
        <x:v>Rear shelving</x:v>
      </x:c>
      <x:c r="E39" s="17" t="str">
        <x:v>collection</x:v>
      </x:c>
      <x:c r="F39" s="18" t="n">
        <x:v>8</x:v>
      </x:c>
      <x:c r="G39" s="16" t="str">
        <x:v>conservators_office_shelves_02_anchor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conservators_office_shelves_03</x:v>
      </x:c>
      <x:c r="B40" s="17" t="str">
        <x:v>conservators_office</x:v>
      </x:c>
      <x:c r="C40" s="17" t="str">
        <x:v>shelves</x:v>
      </x:c>
      <x:c r="D40" s="17" t="str">
        <x:v>Right shelving</x:v>
      </x:c>
      <x:c r="E40" s="17" t="str">
        <x:v>collection</x:v>
      </x:c>
      <x:c r="F40" s="18" t="n">
        <x:v>8</x:v>
      </x:c>
      <x:c r="G40" s="16" t="str">
        <x:v>conservators_office_shelves_03_anchor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conservators_office_panel_01</x:v>
      </x:c>
      <x:c r="B41" s="17" t="str">
        <x:v>conservators_office</x:v>
      </x:c>
      <x:c r="C41" s="17" t="str">
        <x:v>panel</x:v>
      </x:c>
      <x:c r="D41" s="17" t="str">
        <x:v>Elephant wall panel</x:v>
      </x:c>
      <x:c r="E41" s="17" t="str">
        <x:v>detail</x:v>
      </x:c>
      <x:c r="F41" s="18" t="n">
        <x:v>1</x:v>
      </x:c>
      <x:c r="G41" s="16" t="str">
        <x:v>conservators_office_panel_01_anchor</x:v>
      </x:c>
      <x:c r="H41" s="17" t="str">
        <x:v>true</x:v>
      </x:c>
      <x:c r="I41" s="17" t="str"/>
      <x:c r="J41" s="17" t="str"/>
    </x:row>
    <x:row r="42" ht="44" customHeight="1">
      <x:c r="A42" s="17" t="str">
        <x:v>lab_bench_01</x:v>
      </x:c>
      <x:c r="B42" s="17" t="str">
        <x:v>lab</x:v>
      </x:c>
      <x:c r="C42" s="17" t="str">
        <x:v>bench</x:v>
      </x:c>
      <x:c r="D42" s="17" t="str">
        <x:v>Analysis bench</x:v>
      </x:c>
      <x:c r="E42" s="17" t="str">
        <x:v>collection</x:v>
      </x:c>
      <x:c r="F42" s="18" t="n">
        <x:v>8</x:v>
      </x:c>
      <x:c r="G42" s="16" t="str">
        <x:v>lab_bench_01_anchor</x:v>
      </x:c>
      <x:c r="H42" s="17" t="str">
        <x:v>true</x:v>
      </x:c>
      <x:c r="I42" s="17" t="str">
        <x:v>Baseline CSS furnishing; no illustrated replacement authorized as a redesign.</x:v>
      </x:c>
      <x:c r="J42" s="17" t="str"/>
    </x:row>
    <x:row r="43" ht="44" customHeight="1">
      <x:c r="A43" s="17" t="str">
        <x:v>lab_equipment_01</x:v>
      </x:c>
      <x:c r="B43" s="17" t="str">
        <x:v>lab</x:v>
      </x:c>
      <x:c r="C43" s="17" t="str">
        <x:v>equipment</x:v>
      </x:c>
      <x:c r="D43" s="17" t="str">
        <x:v>Equipment</x:v>
      </x:c>
      <x:c r="E43" s="17" t="str">
        <x:v>collection</x:v>
      </x:c>
      <x:c r="F43" s="18" t="n">
        <x:v>8</x:v>
      </x:c>
      <x:c r="G43" s="16" t="str">
        <x:v>lab_equipment_01_anchor</x:v>
      </x:c>
      <x:c r="H43" s="17" t="str">
        <x:v>true</x:v>
      </x:c>
      <x:c r="I43" s="17" t="str">
        <x:v>Baseline CSS furnishing; no illustrated replacement authorized as a redesign.</x:v>
      </x:c>
      <x:c r="J43" s="17" t="str"/>
    </x:row>
    <x:row r="44" ht="44" customHeight="1">
      <x:c r="A44" s="17" t="str">
        <x:v>lab_cabinet_01</x:v>
      </x:c>
      <x:c r="B44" s="17" t="str">
        <x:v>lab</x:v>
      </x:c>
      <x:c r="C44" s="17" t="str">
        <x:v>cabinet</x:v>
      </x:c>
      <x:c r="D44" s="17" t="str">
        <x:v>Left cabinet</x:v>
      </x:c>
      <x:c r="E44" s="17" t="str">
        <x:v>collection</x:v>
      </x:c>
      <x:c r="F44" s="18" t="n">
        <x:v>8</x:v>
      </x:c>
      <x:c r="G44" s="16" t="str">
        <x:v>lab_cabinet_01_anchor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lab_cabinet_02</x:v>
      </x:c>
      <x:c r="B45" s="17" t="str">
        <x:v>lab</x:v>
      </x:c>
      <x:c r="C45" s="17" t="str">
        <x:v>cabinet</x:v>
      </x:c>
      <x:c r="D45" s="17" t="str">
        <x:v>Right cabinet</x:v>
      </x:c>
      <x:c r="E45" s="17" t="str">
        <x:v>collection</x:v>
      </x:c>
      <x:c r="F45" s="18" t="n">
        <x:v>8</x:v>
      </x:c>
      <x:c r="G45" s="16" t="str">
        <x:v>lab_cabinet_02_anchor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34" customHeight="1">
      <x:c r="A46" s="17" t="str">
        <x:v>lab_attic_context_01</x:v>
      </x:c>
      <x:c r="B46" s="17" t="str">
        <x:v>lab</x:v>
      </x:c>
      <x:c r="C46" s="17" t="str">
        <x:v>attic</x:v>
      </x:c>
      <x:c r="D46" s="17" t="str">
        <x:v>Attic access context</x:v>
      </x:c>
      <x:c r="E46" s="17" t="str">
        <x:v>tool</x:v>
      </x:c>
      <x:c r="F46" s="18" t="n">
        <x:v>1</x:v>
      </x:c>
      <x:c r="G46" s="16" t="str">
        <x:v>lab_attic_context_01_anchor</x:v>
      </x:c>
      <x:c r="H46" s="17" t="str">
        <x:v>true</x:v>
      </x:c>
      <x:c r="I46" s="17" t="str"/>
      <x:c r="J46" s="17" t="str"/>
    </x:row>
    <x:row r="47" ht="32" customHeight="1">
      <x:c r="A47" s="17"/>
      <x:c r="B47" s="17"/>
      <x:c r="C47" s="17"/>
      <x:c r="D47" s="17"/>
      <x:c r="E47" s="17"/>
      <x:c r="F47" s="18"/>
      <x:c r="G47" s="16"/>
      <x:c r="H47" s="17"/>
      <x:c r="I47" s="17"/>
      <x:c r="J47" s="17"/>
    </x:row>
    <x:row r="48" ht="32" customHeight="1">
      <x:c r="A48" s="17"/>
      <x:c r="B48" s="17"/>
      <x:c r="C48" s="17"/>
      <x:c r="D48" s="17"/>
      <x:c r="E48" s="17"/>
      <x:c r="F48" s="18"/>
      <x:c r="G48" s="16"/>
      <x:c r="H48" s="17"/>
      <x:c r="I48" s="17"/>
      <x:c r="J48" s="17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6341d2c27840c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d6f8543bba544415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/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Add material</x:v>
      </x:c>
      <x:c r="B2" s="24" t="str">
        <x:v>Content: give each item a stable content_id. Fill title, description, image and citation. New ordinary items use detail and a blank adapter.</x:v>
      </x:c>
    </x:row>
    <x:row r="3" ht="58" customHeight="1">
      <x:c r="A3" s="24" t="str">
        <x:v>2. Choose a location</x:v>
      </x:c>
      <x:c r="B3" s="24" t="str">
        <x:v>Placements: select slot_id, then content_id. Room and location names appear automatically. Slots lists every prepared access point.</x:v>
      </x:c>
    </x:row>
    <x:row r="4" ht="58" customHeight="1">
      <x:c r="A4" s="24" t="str">
        <x:v>3. Set presentation</x:v>
      </x:c>
      <x:c r="B4" s="24" t="str">
        <x:v>content_type must match the item. Use sort_order to order items in a collection. Set published to true when ready.</x:v>
      </x:c>
    </x:row>
    <x:row r="5" ht="58" customHeight="1">
      <x:c r="A5" s="24" t="str">
        <x:v>Empty locations</x:v>
      </x:c>
      <x:c r="B5" s="24" t="str">
        <x:v>Pre-filled draft rows have no content and published=false. They do not create website records until you assign content.</x:v>
      </x:c>
    </x:row>
    <x:row r="6" ht="58" customHeight="1">
      <x:c r="A6" s="24" t="str">
        <x:v>Same item in two rooms</x:v>
      </x:c>
      <x:c r="B6" s="24" t="str">
        <x:v>Add a second placement with a new placement_id and the same content_id. Do not duplicate the material record.</x:v>
      </x:c>
    </x:row>
    <x:row r="7" ht="58" customHeight="1">
      <x:c r="A7" s="24" t="str">
        <x:v>Timeline editing</x:v>
      </x:c>
      <x:c r="B7" s="24" t="str">
        <x:v>Timelines contains introductions and success text. Events contains dated items. Equal sortKey values accept either order. displayedDate remains text.</x:v>
      </x:c>
    </x:row>
    <x:row r="8" ht="58" customHeight="1">
      <x:c r="A8" s="24" t="str">
        <x:v>Existing collection</x:v>
      </x:c>
      <x:c r="B8" s="24" t="str">
        <x:v>Collection is the original museum metadata. ChineseUVIvoryCollection draws its description from this sheet. Preserve its exact objectid.</x:v>
      </x:c>
    </x:row>
    <x:row r="9" ht="58" customHeight="1">
      <x:c r="A9" s="24" t="str">
        <x:v>Existing adapters</x:v>
      </x:c>
      <x:c r="B9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0" ht="58" customHeight="1">
      <x:c r="A10" s="24" t="str">
        <x:v>Prepared locations</x:v>
      </x:c>
      <x:c r="B10" s="24" t="str">
        <x:v>Rooms and Slots describe existing artwork. Keep IDs, anchors, routes and assets stable. New physical locations require matching geometry.</x:v>
      </x:c>
    </x:row>
    <x:row r="11" ht="58" customHeight="1">
      <x:c r="A11" s="24" t="str">
        <x:v>Images</x:v>
      </x:c>
      <x:c r="B11" s="24" t="str">
        <x:v>Enter a website path such as /assets/img/example.jpg or an HTTPS image URL. Typing a local file path does not upload an image.</x:v>
      </x:c>
    </x:row>
    <x:row r="12" ht="58" customHeight="1">
      <x:c r="A12" s="24" t="str">
        <x:v>Colors</x:v>
      </x:c>
      <x:c r="B12" s="24" t="str">
        <x:v>Pale amber: editorial inputs. Gray: reference or calculated values. Dark amber: an empty content assignment.</x:v>
      </x:c>
    </x:row>
    <x:row r="13" ht="58" customHeight="1">
      <x:c r="A13" s="24" t="str">
        <x:v>Preserve structure</x:v>
      </x:c>
      <x:c r="B13" s="24" t="str">
        <x:v>Keep sheet names and the original header row. Add records in the tables. Never reuse an existing ID for a different record.</x:v>
      </x:c>
    </x:row>
    <x:row r="14" ht="58" customHeight="1">
      <x:c r="A14" s="24" t="str">
        <x:v>Draft material</x:v>
      </x:c>
      <x:c r="B14" s="24" t="str">
        <x:v>Existing teaching examples and placeholder notices are carried over unchanged. Your team supplies replacements.</x:v>
      </x:c>
    </x:row>
    <x:row r="15" ht="58" customHeight="1">
      <x:c r="A15" s="24" t="str">
        <x:v>Import process</x:v>
      </x:c>
      <x:c r="B15" s="24" t="str">
        <x:v>Run the check command described in README.md. Apply writes the website CSVs with a backup. Rebuild and inspect locally before any publishing.</x:v>
      </x:c>
    </x:row>
    <x:row r="16" ht="58" customHeight="1">
      <x:c r="A16" s="24" t="str">
        <x:v>Sharing</x:v>
      </x:c>
      <x:c r="B16" s="24" t="str">
        <x:v>Share this .xlsx in Excel or a shared drive. Return the edited .xlsx for validation and import. The site does not read the workbook live.</x:v>
      </x:c>
    </x:row>
    <x:row r="17" ht="58" customHeight="1">
      <x:c r="A17" s="24" t="str">
        <x:v>Source snapshots</x:v>
      </x:c>
      <x:c r="B17" s="24" t="str">
        <x:v>The hashes below prevent importing over source data changed after this workbook was created. Do not edit these cells.</x:v>
      </x:c>
    </x:row>
    <x:row r="18" ht="58" customHeight="1">
      <x:c r="A18" s="24" t="str">
        <x:v>_data/placements.csv</x:v>
      </x:c>
      <x:c r="B18" s="24" t="str">
        <x:v>087a2f718b5ee1c6783cafeb30f16a5ad934822d66ecf6c0484d19156f86b918</x:v>
      </x:c>
    </x:row>
    <x:row r="19" ht="58" customHeight="1">
      <x:c r="A19" s="24" t="str">
        <x:v>_data/room_content.csv</x:v>
      </x:c>
      <x:c r="B19" s="24" t="str">
        <x:v>c859709397870b691cca329d6d1ec56fb9dc756d035b2636081111dc46ecebf6</x:v>
      </x:c>
    </x:row>
    <x:row r="20" ht="58" customHeight="1">
      <x:c r="A20" s="24" t="str">
        <x:v>_data/timeline_events.csv</x:v>
      </x:c>
      <x:c r="B20" s="24" t="str">
        <x:v>6d440f2d8e35129dc48ee25acadc58e8491ea7bfea2e6b250ab9c792731c031e</x:v>
      </x:c>
    </x:row>
    <x:row r="21" ht="58" customHeight="1">
      <x:c r="A21" s="24" t="str">
        <x:v>_data/room_timelines.csv</x:v>
      </x:c>
      <x:c r="B21" s="24" t="str">
        <x:v>5b177dd4ed184a477cf576a2a6b5d86871b8f2332f353c70e0177ebaff2a68c0</x:v>
      </x:c>
    </x:row>
    <x:row r="22" ht="58" customHeight="1">
      <x:c r="A22" s="24" t="str">
        <x:v>_data/rooms.csv</x:v>
      </x:c>
      <x:c r="B22" s="24" t="str">
        <x:v>9de7372fc7eff45ffcb4fb71f0686068f46e8401632faa59971ffb9e42c15fb5</x:v>
      </x:c>
    </x:row>
    <x:row r="23" ht="58" customHeight="1">
      <x:c r="A23" s="24" t="str">
        <x:v>_data/exhibit_slots.csv</x:v>
      </x:c>
      <x:c r="B23" s="24" t="str">
        <x:v>d3e4333d6d7ec2dd97f99009148754df2099538d822c07f0c6d7f0bb2e0270ac</x:v>
      </x:c>
    </x:row>
    <x:row r="24" ht="58" customHeight="1">
      <x:c r="A24" s="24" t="str">
        <x:v>_data/demo-metadata.csv</x:v>
      </x:c>
      <x:c r="B24" s="24" t="str">
        <x:v>4b52545ce188c6aadc29a35bfe23c0c935ab202baaa080c7a0dee9fa4257b543</x:v>
      </x:c>
    </x:row>
  </x:sheetData>
  <x:pageMargins left="0.7" right="0.7" top="0.75" bottom="0.75" header="0.3" footer="0.3"/>
</x:worksheet>
</file>
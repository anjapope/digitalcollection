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6040bdeef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ments" sheetId="1" r:id="R62910e8b1e654193"/>
    <x:sheet xmlns:r="http://schemas.openxmlformats.org/officeDocument/2006/relationships" name="Content" sheetId="2" r:id="R6d706709117c4efa"/>
    <x:sheet xmlns:r="http://schemas.openxmlformats.org/officeDocument/2006/relationships" name="Events" sheetId="3" r:id="R01e5051be94b407c"/>
    <x:sheet xmlns:r="http://schemas.openxmlformats.org/officeDocument/2006/relationships" name="Timelines" sheetId="4" r:id="R94869fca09e74b1e"/>
    <x:sheet xmlns:r="http://schemas.openxmlformats.org/officeDocument/2006/relationships" name="Rooms" sheetId="5" r:id="Rd30042ed73c7471a"/>
    <x:sheet xmlns:r="http://schemas.openxmlformats.org/officeDocument/2006/relationships" name="Slots" sheetId="6" r:id="Rcefcced59951437a"/>
    <x:sheet xmlns:r="http://schemas.openxmlformats.org/officeDocument/2006/relationships" name="Collection" sheetId="7" r:id="Rd196e7bcbe854e56"/>
    <x:sheet xmlns:r="http://schemas.openxmlformats.org/officeDocument/2006/relationships" name="Guide" sheetId="8" r:id="R3e85da649fc9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General"/>
    <x:numFmt numFmtId="203" formatCode="0.000000"/>
  </x:numFmts>
  <x:fonts count="4">
    <x:font>
      <x:sz val="11"/>
      <x:name val="Carlito"/>
    </x:font>
    <x:font>
      <x:sz val="11"/>
      <x:color rgb="FF28313B"/>
      <x:name val="Arial"/>
    </x:font>
    <x:font>
      <x:b/>
      <x:sz val="11"/>
      <x:color rgb="FFFFFFFF"/>
      <x:name val="Arial"/>
    </x:font>
    <x:font>
      <x:b/>
      <x:sz val="15"/>
      <x:color rgb="FF28313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473E32"/>
      </x:patternFill>
    </x:fill>
    <x:fill>
      <x:patternFill patternType="solid">
        <x:fgColor rgb="FFFFF8E5"/>
      </x:patternFill>
    </x:fill>
    <x:fill>
      <x:patternFill patternType="solid">
        <x:fgColor rgb="FFE9ECEF"/>
      </x:patternFill>
    </x:fill>
    <x:fill>
      <x:patternFill patternType="solid">
        <x:fgColor rgb="FFF0F1F2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1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2" borderId="0" xfId="0" applyNumberFormat="1" applyFont="1" applyFill="1" applyBorder="1" applyAlignment="1">
      <x:alignment vertical="top" wrapText="1"/>
    </x:xf>
    <x:xf numFmtId="203" fontId="2" fillId="2" borderId="0" xfId="0" applyNumberFormat="1" applyFont="1" applyFill="1" applyBorder="1" applyAlignment="1">
      <x:alignment vertical="top" wrapText="1"/>
    </x:xf>
    <x:xf numFmtId="203" fontId="2" fillId="2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FFE2A8"/>
        </x:patternFill>
      </x:fill>
    </x:dxf>
    <x:dxf>
      <x:fill>
        <x:patternFill patternType="solid">
          <x:bgColor rgb="FFF4B4B4"/>
        </x:patternFill>
      </x:fill>
    </x:dxf>
    <x:dxf>
      <x:fill>
        <x:patternFill patternType="solid">
          <x:bgColor rgb="FFF4B4B4"/>
        </x:patternFill>
      </x:fill>
    </x:dxf>
    <x:dxf>
      <x:fill>
        <x:patternFill patternType="solid">
          <x:bgColor rgb="FFF4B4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22a08e4564d46" /><Relationship Type="http://schemas.openxmlformats.org/officeDocument/2006/relationships/theme" Target="/xl/theme/theme1.xml" Id="R37147c4d30bc46c9" /><Relationship Type="http://schemas.openxmlformats.org/officeDocument/2006/relationships/sharedStrings" Target="/xl/sharedStrings.xml" Id="R4765986c9bb9442f" /><Relationship Type="http://schemas.openxmlformats.org/officeDocument/2006/relationships/worksheet" Target="/xl/worksheets/sheet1.xml" Id="R62910e8b1e654193" /><Relationship Type="http://schemas.openxmlformats.org/officeDocument/2006/relationships/worksheet" Target="/xl/worksheets/sheet2.xml" Id="R6d706709117c4efa" /><Relationship Type="http://schemas.openxmlformats.org/officeDocument/2006/relationships/worksheet" Target="/xl/worksheets/sheet3.xml" Id="R01e5051be94b407c" /><Relationship Type="http://schemas.openxmlformats.org/officeDocument/2006/relationships/worksheet" Target="/xl/worksheets/sheet4.xml" Id="R94869fca09e74b1e" /><Relationship Type="http://schemas.openxmlformats.org/officeDocument/2006/relationships/worksheet" Target="/xl/worksheets/sheet5.xml" Id="Rd30042ed73c7471a" /><Relationship Type="http://schemas.openxmlformats.org/officeDocument/2006/relationships/worksheet" Target="/xl/worksheets/sheet6.xml" Id="Rcefcced59951437a" /><Relationship Type="http://schemas.openxmlformats.org/officeDocument/2006/relationships/worksheet" Target="/xl/worksheets/sheet7.xml" Id="Rd196e7bcbe854e56" /><Relationship Type="http://schemas.openxmlformats.org/officeDocument/2006/relationships/worksheet" Target="/xl/worksheets/sheet8.xml" Id="R3e85da649fc9454b" /></Relationships>
</file>

<file path=xl/tables/table1.xml><?xml version="1.0" encoding="utf-8"?>
<x:table xmlns:x="http://schemas.openxmlformats.org/spreadsheetml/2006/main" id="1" name="PlacementsTable" displayName="PlacementsTable" ref="A1:K63" headerRowCount="1" totalsRowCount="0" totalsRowShown="0">
  <x:tableColumns count="11">
    <x:tableColumn id="1" name="placement_id"/>
    <x:tableColumn id="2" name="slot_id"/>
    <x:tableColumn id="3" name="content_id"/>
    <x:tableColumn id="4" name="content_type"/>
    <x:tableColumn id="5" name="sort_order"/>
    <x:tableColumn id="6" name="published"/>
    <x:tableColumn id="7" name="Room ID (automatic)"/>
    <x:tableColumn id="8" name="Room name (automatic)"/>
    <x:tableColumn id="9" name="Location (automatic)"/>
    <x:tableColumn id="10" name="Supported type (automatic)"/>
    <x:tableColumn id="11" name="Capacity (automatic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ntTable" displayName="ContentTable" ref="A1:G42" headerRowCount="1" totalsRowCount="0" totalsRowShown="0">
  <x:tableColumns count="7">
    <x:tableColumn id="1" name="content_id"/>
    <x:tableColumn id="2" name="title"/>
    <x:tableColumn id="3" name="description"/>
    <x:tableColumn id="4" name="content_type"/>
    <x:tableColumn id="5" name="adapter"/>
    <x:tableColumn id="6" name="image"/>
    <x:tableColumn id="7" name="ci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able" displayName="EventsTable" ref="A1:I32" headerRowCount="1" totalsRowCount="0" totalsRowShown="0">
  <x:tableColumns count="9">
    <x:tableColumn id="1" name="timeline_id"/>
    <x:tableColumn id="2" name="id"/>
    <x:tableColumn id="3" name="sortKey"/>
    <x:tableColumn id="4" name="displayedDate"/>
    <x:tableColumn id="5" name="title"/>
    <x:tableColumn id="6" name="description"/>
    <x:tableColumn id="7" name="image"/>
    <x:tableColumn id="8" name="citation"/>
    <x:tableColumn id="9" name="extendedExplan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imelinesTable" displayName="TimelinesTable" ref="A1:F20" headerRowCount="1" totalsRowCount="0" totalsRowShown="0">
  <x:tableColumns count="6">
    <x:tableColumn id="1" name="timeline_id"/>
    <x:tableColumn id="2" name="room_id"/>
    <x:tableColumn id="3" name="roomName"/>
    <x:tableColumn id="4" name="temporalScale"/>
    <x:tableColumn id="5" name="introduction"/>
    <x:tableColumn id="6" name="successTex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omsTable" displayName="RoomsTable" ref="A1:E24" headerRowCount="1" totalsRowCount="0" totalsRowShown="0">
  <x:tableColumns count="5">
    <x:tableColumn id="1" name="room_id"/>
    <x:tableColumn id="2" name="editor_label"/>
    <x:tableColumn id="3" name="route"/>
    <x:tableColumn id="4" name="background_asset"/>
    <x:tableColumn id="5" name="enabl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lotsTable" displayName="SlotsTable" ref="A1:J61" headerRowCount="1" totalsRowCount="0" totalsRowShown="0">
  <x:tableColumns count="10">
    <x:tableColumn id="1" name="slot_id"/>
    <x:tableColumn id="2" name="room_id"/>
    <x:tableColumn id="3" name="zone_id"/>
    <x:tableColumn id="4" name="editor_label"/>
    <x:tableColumn id="5" name="slot_type"/>
    <x:tableColumn id="6" name="capacity"/>
    <x:tableColumn id="7" name="anchor_id"/>
    <x:tableColumn id="8" name="enabled"/>
    <x:tableColumn id="9" name="notes"/>
    <x:tableColumn id="10" name="display_descrip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llectionTable" displayName="CollectionTable" ref="A1:W17" headerRowCount="1" totalsRowCount="0" totalsRowShown="0">
  <x:tableColumns count="23">
    <x:tableColumn id="1" name="objectid"/>
    <x:tableColumn id="2" name="parentid"/>
    <x:tableColumn id="3" name="title"/>
    <x:tableColumn id="4" name="creator"/>
    <x:tableColumn id="5" name="date"/>
    <x:tableColumn id="6" name="description"/>
    <x:tableColumn id="7" name="subject"/>
    <x:tableColumn id="8" name="location"/>
    <x:tableColumn id="9" name="latitude"/>
    <x:tableColumn id="10" name="longitude"/>
    <x:tableColumn id="11" name="source"/>
    <x:tableColumn id="12" name="identifier"/>
    <x:tableColumn id="13" name="type"/>
    <x:tableColumn id="14" name="format"/>
    <x:tableColumn id="15" name="language"/>
    <x:tableColumn id="16" name="rights"/>
    <x:tableColumn id="17" name="rightsstatement"/>
    <x:tableColumn id="18" name="display_template"/>
    <x:tableColumn id="19" name="object_location"/>
    <x:tableColumn id="20" name="image_small"/>
    <x:tableColumn id="21" name="image_thumb"/>
    <x:tableColumn id="22" name="image_alt_text"/>
    <x:tableColumn id="23" name="object_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05d92a80e642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be95dcee1540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ffb5d20cfe4a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eeedd787854e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e486a4ba3db49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7c4edf946dd41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b3a29f3290d42a7" /></Relationships>
</file>

<file path=xl/worksheets/sheet1.xml><?xml version="1.0" encoding="utf-8"?>
<x:worksheet xmlns:x="http://schemas.openxmlformats.org/spreadsheetml/2006/main">
  <x:sheetPr>
    <x:tabColor rgb="FF80623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2" hidden="0" customWidth="1"/>
    <x:col min="2" max="2" width="48" hidden="0" customWidth="1"/>
    <x:col min="3" max="3" width="44" hidden="0" customWidth="1"/>
    <x:col min="4" max="4" width="28" hidden="0" customWidth="1"/>
    <x:col min="5" max="5" width="28" hidden="0" customWidth="1"/>
    <x:col min="6" max="6" width="28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</x:cols>
  <x:sheetData>
    <x:row r="1" ht="42" customHeight="1">
      <x:c r="A1" s="10" t="str">
        <x:v>placement_id</x:v>
      </x:c>
      <x:c r="B1" s="10" t="str">
        <x:v>slot_id</x:v>
      </x:c>
      <x:c r="C1" s="10" t="str">
        <x:v>content_id</x:v>
      </x:c>
      <x:c r="D1" s="10" t="str">
        <x:v>content_type</x:v>
      </x:c>
      <x:c r="E1" s="11" t="str">
        <x:v>sort_order</x:v>
      </x:c>
      <x:c r="F1" s="10" t="str">
        <x:v>published</x:v>
      </x:c>
      <x:c r="G1" s="10" t="str">
        <x:v>Room ID (automatic)</x:v>
      </x:c>
      <x:c r="H1" s="10" t="str">
        <x:v>Room name (automatic)</x:v>
      </x:c>
      <x:c r="I1" s="10" t="str">
        <x:v>Location (automatic)</x:v>
      </x:c>
      <x:c r="J1" s="10" t="str">
        <x:v>Supported type (automatic)</x:v>
      </x:c>
      <x:c r="K1" s="10" t="str">
        <x:v>Capacity (automatic)</x:v>
      </x:c>
    </x:row>
    <x:row r="2" ht="34" customHeight="1">
      <x:c r="A2" s="12" t="str">
        <x:v>gallery_intro_1</x:v>
      </x:c>
      <x:c r="B2" s="12" t="str">
        <x:v>gallery_intro</x:v>
      </x:c>
      <x:c r="C2" s="12" t="str">
        <x:v>gallery_intro</x:v>
      </x:c>
      <x:c r="D2" s="12" t="str">
        <x:v>detail</x:v>
      </x:c>
      <x:c r="E2" s="13" t="n">
        <x:v>1</x:v>
      </x:c>
      <x:c r="F2" s="12" t="str">
        <x:v>true</x:v>
      </x:c>
      <x:c r="G2" s="15" t="str">
        <x:f>IF(B2="","",IFERROR(VLOOKUP(B2,Slots!$A$2:$D$501,2,FALSE),"Unknown slot"))</x:f>
        <x:v>gallery</x:v>
      </x:c>
      <x:c r="H2" s="15" t="str">
        <x:f>IF(G2="","",IFERROR(VLOOKUP(G2,Rooms!$A$2:$B$501,2,FALSE),"Unknown room"))</x:f>
        <x:v>Gallery</x:v>
      </x:c>
      <x:c r="I2" s="15" t="str">
        <x:f>IF(B2="","",IFERROR(VLOOKUP(B2,Slots!$A$2:$D$501,4,FALSE),"Unknown slot"))</x:f>
        <x:v>Gallery introduction</x:v>
      </x:c>
      <x:c r="J2" s="15" t="str">
        <x:f>IF(B2="","",IFERROR(VLOOKUP(B2,Slots!$A$2:$E$501,5,FALSE),"Unknown slot"))</x:f>
        <x:v>detail</x:v>
      </x:c>
      <x:c r="K2" s="15" t="n">
        <x:f>IF(B2="","",IFERROR(VLOOKUP(B2,Slots!$A$2:$F$501,6,FALSE),"Unknown slot"))</x:f>
        <x:v>1</x:v>
      </x:c>
    </x:row>
    <x:row r="3" ht="34" customHeight="1">
      <x:c r="A3" s="12" t="str">
        <x:v>conservation_lab_intro_1</x:v>
      </x:c>
      <x:c r="B3" s="12" t="str">
        <x:v>conservation_lab_intro</x:v>
      </x:c>
      <x:c r="C3" s="12" t="str">
        <x:v>conservation_lab_intro</x:v>
      </x:c>
      <x:c r="D3" s="12" t="str">
        <x:v>detail</x:v>
      </x:c>
      <x:c r="E3" s="13" t="n">
        <x:v>1</x:v>
      </x:c>
      <x:c r="F3" s="12" t="str">
        <x:v>true</x:v>
      </x:c>
      <x:c r="G3" s="15" t="str">
        <x:f>IF(B3="","",IFERROR(VLOOKUP(B3,Slots!$A$2:$D$501,2,FALSE),"Unknown slot"))</x:f>
        <x:v>conservation_lab</x:v>
      </x:c>
      <x:c r="H3" s="15" t="str">
        <x:f>IF(G3="","",IFERROR(VLOOKUP(G3,Rooms!$A$2:$B$501,2,FALSE),"Unknown room"))</x:f>
        <x:v>Conservation Lab</x:v>
      </x:c>
      <x:c r="I3" s="15" t="str">
        <x:f>IF(B3="","",IFERROR(VLOOKUP(B3,Slots!$A$2:$D$501,4,FALSE),"Unknown slot"))</x:f>
        <x:v>Conservation Lab introduction</x:v>
      </x:c>
      <x:c r="J3" s="15" t="str">
        <x:f>IF(B3="","",IFERROR(VLOOKUP(B3,Slots!$A$2:$E$501,5,FALSE),"Unknown slot"))</x:f>
        <x:v>detail</x:v>
      </x:c>
      <x:c r="K3" s="15" t="n">
        <x:f>IF(B3="","",IFERROR(VLOOKUP(B3,Slots!$A$2:$F$501,6,FALSE),"Unknown slot"))</x:f>
        <x:v>1</x:v>
      </x:c>
    </x:row>
    <x:row r="4" ht="34" customHeight="1">
      <x:c r="A4" s="12" t="str">
        <x:v>vestibule_welcome_01_1</x:v>
      </x:c>
      <x:c r="B4" s="12" t="str">
        <x:v>vestibule_welcome_01</x:v>
      </x:c>
      <x:c r="C4" s="12" t="str">
        <x:v>welcome-sequence</x:v>
      </x:c>
      <x:c r="D4" s="12" t="str">
        <x:v>tool</x:v>
      </x:c>
      <x:c r="E4" s="13" t="n">
        <x:v>1</x:v>
      </x:c>
      <x:c r="F4" s="12" t="str">
        <x:v>true</x:v>
      </x:c>
      <x:c r="G4" s="15" t="str">
        <x:f>IF(B4="","",IFERROR(VLOOKUP(B4,Slots!$A$2:$D$501,2,FALSE),"Unknown slot"))</x:f>
        <x:v>vestibule</x:v>
      </x:c>
      <x:c r="H4" s="15" t="str">
        <x:f>IF(G4="","",IFERROR(VLOOKUP(G4,Rooms!$A$2:$B$501,2,FALSE),"Unknown room"))</x:f>
        <x:v>Vestibule</x:v>
      </x:c>
      <x:c r="I4" s="15" t="str">
        <x:f>IF(B4="","",IFERROR(VLOOKUP(B4,Slots!$A$2:$D$501,4,FALSE),"Unknown slot"))</x:f>
        <x:v>Welcome and check-in</x:v>
      </x:c>
      <x:c r="J4" s="15" t="str">
        <x:f>IF(B4="","",IFERROR(VLOOKUP(B4,Slots!$A$2:$E$501,5,FALSE),"Unknown slot"))</x:f>
        <x:v>tool</x:v>
      </x:c>
      <x:c r="K4" s="15" t="n">
        <x:f>IF(B4="","",IFERROR(VLOOKUP(B4,Slots!$A$2:$F$501,6,FALSE),"Unknown slot"))</x:f>
        <x:v>1</x:v>
      </x:c>
    </x:row>
    <x:row r="5" ht="34" customHeight="1">
      <x:c r="A5" s="12" t="str">
        <x:v>gallery_wall_01_1</x:v>
      </x:c>
      <x:c r="B5" s="12" t="str">
        <x:v>gallery_wall_01</x:v>
      </x:c>
      <x:c r="C5" s="12" t="str">
        <x:v>gallery-fixed-wall_01</x:v>
      </x:c>
      <x:c r="D5" s="12" t="str">
        <x:v>detail</x:v>
      </x:c>
      <x:c r="E5" s="13" t="n">
        <x:v>1</x:v>
      </x:c>
      <x:c r="F5" s="12" t="str">
        <x:v>false</x:v>
      </x:c>
      <x:c r="G5" s="15" t="str">
        <x:f>IF(B5="","",IFERROR(VLOOKUP(B5,Slots!$A$2:$D$501,2,FALSE),"Unknown slot"))</x:f>
        <x:v>gallery</x:v>
      </x:c>
      <x:c r="H5" s="15" t="str">
        <x:f>IF(G5="","",IFERROR(VLOOKUP(G5,Rooms!$A$2:$B$501,2,FALSE),"Unknown room"))</x:f>
        <x:v>Gallery</x:v>
      </x:c>
      <x:c r="I5" s="15" t="str">
        <x:f>IF(B5="","",IFERROR(VLOOKUP(B5,Slots!$A$2:$D$501,4,FALSE),"Unknown slot"))</x:f>
        <x:v>Near left-wall relief</x:v>
      </x:c>
      <x:c r="J5" s="15" t="str">
        <x:f>IF(B5="","",IFERROR(VLOOKUP(B5,Slots!$A$2:$E$501,5,FALSE),"Unknown slot"))</x:f>
        <x:v>collection</x:v>
      </x:c>
      <x:c r="K5" s="15" t="n">
        <x:f>IF(B5="","",IFERROR(VLOOKUP(B5,Slots!$A$2:$F$501,6,FALSE),"Unknown slot"))</x:f>
        <x:v>8</x:v>
      </x:c>
    </x:row>
    <x:row r="6" ht="34" customHeight="1">
      <x:c r="A6" s="12" t="str">
        <x:v>gallery_wall_01_2</x:v>
      </x:c>
      <x:c r="B6" s="12" t="str">
        <x:v>gallery_wall_01</x:v>
      </x:c>
      <x:c r="C6" s="12" t="str">
        <x:v>art-susanna-sequence</x:v>
      </x:c>
      <x:c r="D6" s="12" t="str">
        <x:v>detail</x:v>
      </x:c>
      <x:c r="E6" s="13" t="n">
        <x:v>2</x:v>
      </x:c>
      <x:c r="F6" s="12" t="str">
        <x:v>true</x:v>
      </x:c>
      <x:c r="G6" s="15" t="str">
        <x:f>IF(B6="","",IFERROR(VLOOKUP(B6,Slots!$A$2:$D$501,2,FALSE),"Unknown slot"))</x:f>
        <x:v>gallery</x:v>
      </x:c>
      <x:c r="H6" s="15" t="str">
        <x:f>IF(G6="","",IFERROR(VLOOKUP(G6,Rooms!$A$2:$B$501,2,FALSE),"Unknown room"))</x:f>
        <x:v>Gallery</x:v>
      </x:c>
      <x:c r="I6" s="15" t="str">
        <x:f>IF(B6="","",IFERROR(VLOOKUP(B6,Slots!$A$2:$D$501,4,FALSE),"Unknown slot"))</x:f>
        <x:v>Near left-wall relief</x:v>
      </x:c>
      <x:c r="J6" s="15" t="str">
        <x:f>IF(B6="","",IFERROR(VLOOKUP(B6,Slots!$A$2:$E$501,5,FALSE),"Unknown slot"))</x:f>
        <x:v>collection</x:v>
      </x:c>
      <x:c r="K6" s="15" t="n">
        <x:f>IF(B6="","",IFERROR(VLOOKUP(B6,Slots!$A$2:$F$501,6,FALSE),"Unknown slot"))</x:f>
        <x:v>8</x:v>
      </x:c>
    </x:row>
    <x:row r="7" ht="34" customHeight="1">
      <x:c r="A7" s="12" t="str">
        <x:v>gallery_wall_02_1</x:v>
      </x:c>
      <x:c r="B7" s="12" t="str">
        <x:v>gallery_wall_02</x:v>
      </x:c>
      <x:c r="C7" s="12" t="str">
        <x:v>gallery-fixed-wall_02</x:v>
      </x:c>
      <x:c r="D7" s="12" t="str">
        <x:v>detail</x:v>
      </x:c>
      <x:c r="E7" s="13" t="n">
        <x:v>1</x:v>
      </x:c>
      <x:c r="F7" s="12" t="str">
        <x:v>true</x:v>
      </x:c>
      <x:c r="G7" s="15" t="str">
        <x:f>IF(B7="","",IFERROR(VLOOKUP(B7,Slots!$A$2:$D$501,2,FALSE),"Unknown slot"))</x:f>
        <x:v>gallery</x:v>
      </x:c>
      <x:c r="H7" s="15" t="str">
        <x:f>IF(G7="","",IFERROR(VLOOKUP(G7,Rooms!$A$2:$B$501,2,FALSE),"Unknown room"))</x:f>
        <x:v>Gallery</x:v>
      </x:c>
      <x:c r="I7" s="15" t="str">
        <x:f>IF(B7="","",IFERROR(VLOOKUP(B7,Slots!$A$2:$D$501,4,FALSE),"Unknown slot"))</x:f>
        <x:v>Far left-wall relief</x:v>
      </x:c>
      <x:c r="J7" s="15" t="str">
        <x:f>IF(B7="","",IFERROR(VLOOKUP(B7,Slots!$A$2:$E$501,5,FALSE),"Unknown slot"))</x:f>
        <x:v>collection</x:v>
      </x:c>
      <x:c r="K7" s="15" t="n">
        <x:f>IF(B7="","",IFERROR(VLOOKUP(B7,Slots!$A$2:$F$501,6,FALSE),"Unknown slot"))</x:f>
        <x:v>8</x:v>
      </x:c>
    </x:row>
    <x:row r="8" ht="34" customHeight="1">
      <x:c r="A8" s="12" t="str">
        <x:v>gallery_wall_02_2</x:v>
      </x:c>
      <x:c r="B8" s="12" t="str">
        <x:v>gallery_wall_02</x:v>
      </x:c>
      <x:c r="C8" s="12" t="str">
        <x:v>art-relief-sequence</x:v>
      </x:c>
      <x:c r="D8" s="12" t="str">
        <x:v>detail</x:v>
      </x:c>
      <x:c r="E8" s="13" t="n">
        <x:v>2</x:v>
      </x:c>
      <x:c r="F8" s="12" t="str">
        <x:v>true</x:v>
      </x:c>
      <x:c r="G8" s="15" t="str">
        <x:f>IF(B8="","",IFERROR(VLOOKUP(B8,Slots!$A$2:$D$501,2,FALSE),"Unknown slot"))</x:f>
        <x:v>gallery</x:v>
      </x:c>
      <x:c r="H8" s="15" t="str">
        <x:f>IF(G8="","",IFERROR(VLOOKUP(G8,Rooms!$A$2:$B$501,2,FALSE),"Unknown room"))</x:f>
        <x:v>Gallery</x:v>
      </x:c>
      <x:c r="I8" s="15" t="str">
        <x:f>IF(B8="","",IFERROR(VLOOKUP(B8,Slots!$A$2:$D$501,4,FALSE),"Unknown slot"))</x:f>
        <x:v>Far left-wall relief</x:v>
      </x:c>
      <x:c r="J8" s="15" t="str">
        <x:f>IF(B8="","",IFERROR(VLOOKUP(B8,Slots!$A$2:$E$501,5,FALSE),"Unknown slot"))</x:f>
        <x:v>collection</x:v>
      </x:c>
      <x:c r="K8" s="15" t="n">
        <x:f>IF(B8="","",IFERROR(VLOOKUP(B8,Slots!$A$2:$F$501,6,FALSE),"Unknown slot"))</x:f>
        <x:v>8</x:v>
      </x:c>
    </x:row>
    <x:row r="9" ht="34" customHeight="1">
      <x:c r="A9" s="12" t="str">
        <x:v>gallery_case_01_1</x:v>
      </x:c>
      <x:c r="B9" s="12" t="str">
        <x:v>gallery_case_01</x:v>
      </x:c>
      <x:c r="C9" s="12" t="str">
        <x:v>gallery-fixed-fan</x:v>
      </x:c>
      <x:c r="D9" s="12" t="str">
        <x:v>detail</x:v>
      </x:c>
      <x:c r="E9" s="13" t="n">
        <x:v>1</x:v>
      </x:c>
      <x:c r="F9" s="12" t="str">
        <x:v>true</x:v>
      </x:c>
      <x:c r="G9" s="15" t="str">
        <x:f>IF(B9="","",IFERROR(VLOOKUP(B9,Slots!$A$2:$D$501,2,FALSE),"Unknown slot"))</x:f>
        <x:v>gallery</x:v>
      </x:c>
      <x:c r="H9" s="15" t="str">
        <x:f>IF(G9="","",IFERROR(VLOOKUP(G9,Rooms!$A$2:$B$501,2,FALSE),"Unknown room"))</x:f>
        <x:v>Gallery</x:v>
      </x:c>
      <x:c r="I9" s="15" t="str">
        <x:f>IF(B9="","",IFERROR(VLOOKUP(B9,Slots!$A$2:$D$501,4,FALSE),"Unknown slot"))</x:f>
        <x:v>Front glass case</x:v>
      </x:c>
      <x:c r="J9" s="15" t="str">
        <x:f>IF(B9="","",IFERROR(VLOOKUP(B9,Slots!$A$2:$E$501,5,FALSE),"Unknown slot"))</x:f>
        <x:v>collection</x:v>
      </x:c>
      <x:c r="K9" s="15" t="n">
        <x:f>IF(B9="","",IFERROR(VLOOKUP(B9,Slots!$A$2:$F$501,6,FALSE),"Unknown slot"))</x:f>
        <x:v>8</x:v>
      </x:c>
    </x:row>
    <x:row r="10" ht="34" customHeight="1">
      <x:c r="A10" s="12" t="str">
        <x:v>gallery_wall_03_1</x:v>
      </x:c>
      <x:c r="B10" s="12" t="str">
        <x:v>gallery_wall_03</x:v>
      </x:c>
      <x:c r="C10" s="12" t="str">
        <x:v>gallery-roman-wall-sconce</x:v>
      </x:c>
      <x:c r="D10" s="12" t="str">
        <x:v>detail</x:v>
      </x:c>
      <x:c r="E10" s="13" t="n">
        <x:v>1</x:v>
      </x:c>
      <x:c r="F10" s="12" t="str">
        <x:v>true</x:v>
      </x:c>
      <x:c r="G10" s="15" t="str">
        <x:f>IF(B10="","",IFERROR(VLOOKUP(B10,Slots!$A$2:$D$501,2,FALSE),"Unknown slot"))</x:f>
        <x:v>gallery</x:v>
      </x:c>
      <x:c r="H10" s="15" t="str">
        <x:f>IF(G10="","",IFERROR(VLOOKUP(G10,Rooms!$A$2:$B$501,2,FALSE),"Unknown room"))</x:f>
        <x:v>Gallery</x:v>
      </x:c>
      <x:c r="I10" s="15" t="str">
        <x:f>IF(B10="","",IFERROR(VLOOKUP(B10,Slots!$A$2:$D$501,4,FALSE),"Unknown slot"))</x:f>
        <x:v>Small rear-wall frame</x:v>
      </x:c>
      <x:c r="J10" s="15" t="str">
        <x:f>IF(B10="","",IFERROR(VLOOKUP(B10,Slots!$A$2:$E$501,5,FALSE),"Unknown slot"))</x:f>
        <x:v>detail</x:v>
      </x:c>
      <x:c r="K10" s="15" t="n">
        <x:f>IF(B10="","",IFERROR(VLOOKUP(B10,Slots!$A$2:$F$501,6,FALSE),"Unknown slot"))</x:f>
        <x:v>1</x:v>
      </x:c>
    </x:row>
    <x:row r="11" ht="34" customHeight="1">
      <x:c r="A11" s="12" t="str">
        <x:v>conservation_lab_table_01_1</x:v>
      </x:c>
      <x:c r="B11" s="12" t="str">
        <x:v>conservation_lab_table_01</x:v>
      </x:c>
      <x:c r="C11" s="12" t="str">
        <x:v>ChineseUVIvoryCollection</x:v>
      </x:c>
      <x:c r="D11" s="12" t="str">
        <x:v>detail</x:v>
      </x:c>
      <x:c r="E11" s="13" t="n">
        <x:v>1</x:v>
      </x:c>
      <x:c r="F11" s="12" t="str">
        <x:v>true</x:v>
      </x:c>
      <x:c r="G11" s="15" t="str">
        <x:f>IF(B11="","",IFERROR(VLOOKUP(B11,Slots!$A$2:$D$501,2,FALSE),"Unknown slot"))</x:f>
        <x:v>conservation_lab</x:v>
      </x:c>
      <x:c r="H11" s="15" t="str">
        <x:f>IF(G11="","",IFERROR(VLOOKUP(G11,Rooms!$A$2:$B$501,2,FALSE),"Unknown room"))</x:f>
        <x:v>Conservation Lab</x:v>
      </x:c>
      <x:c r="I11" s="15" t="str">
        <x:f>IF(B11="","",IFERROR(VLOOKUP(B11,Slots!$A$2:$D$501,4,FALSE),"Unknown slot"))</x:f>
        <x:v>Central ivories collection</x:v>
      </x:c>
      <x:c r="J11" s="15" t="str">
        <x:f>IF(B11="","",IFERROR(VLOOKUP(B11,Slots!$A$2:$E$501,5,FALSE),"Unknown slot"))</x:f>
        <x:v>collection</x:v>
      </x:c>
      <x:c r="K11" s="15" t="n">
        <x:f>IF(B11="","",IFERROR(VLOOKUP(B11,Slots!$A$2:$F$501,6,FALSE),"Unknown slot"))</x:f>
        <x:v>12</x:v>
      </x:c>
    </x:row>
    <x:row r="12" ht="34" customHeight="1">
      <x:c r="A12" s="12" t="str">
        <x:v>conservation_lab_timeline_01_1</x:v>
      </x:c>
      <x:c r="B12" s="12" t="str">
        <x:v>conservation_lab_timeline_01</x:v>
      </x:c>
      <x:c r="C12" s="12" t="str">
        <x:v>ivory_ages</x:v>
      </x:c>
      <x:c r="D12" s="12" t="str">
        <x:v>timeline</x:v>
      </x:c>
      <x:c r="E12" s="13" t="n">
        <x:v>1</x:v>
      </x:c>
      <x:c r="F12" s="12" t="str">
        <x:v>true</x:v>
      </x:c>
      <x:c r="G12" s="15" t="str">
        <x:f>IF(B12="","",IFERROR(VLOOKUP(B12,Slots!$A$2:$D$501,2,FALSE),"Unknown slot"))</x:f>
        <x:v>conservation_lab</x:v>
      </x:c>
      <x:c r="H12" s="15" t="str">
        <x:f>IF(G12="","",IFERROR(VLOOKUP(G12,Rooms!$A$2:$B$501,2,FALSE),"Unknown room"))</x:f>
        <x:v>Conservation Lab</x:v>
      </x:c>
      <x:c r="I12" s="15" t="str">
        <x:f>IF(B12="","",IFERROR(VLOOKUP(B12,Slots!$A$2:$D$501,4,FALSE),"Unknown slot"))</x:f>
        <x:v>Ivory Through the Ages</x:v>
      </x:c>
      <x:c r="J12" s="15" t="str">
        <x:f>IF(B12="","",IFERROR(VLOOKUP(B12,Slots!$A$2:$E$501,5,FALSE),"Unknown slot"))</x:f>
        <x:v>timeline</x:v>
      </x:c>
      <x:c r="K12" s="15" t="n">
        <x:f>IF(B12="","",IFERROR(VLOOKUP(B12,Slots!$A$2:$F$501,6,FALSE),"Unknown slot"))</x:f>
        <x:v>1</x:v>
      </x:c>
    </x:row>
    <x:row r="13" ht="34" customHeight="1">
      <x:c r="A13" s="12" t="str">
        <x:v>conservation_lab_media_01_1</x:v>
      </x:c>
      <x:c r="B13" s="12" t="str">
        <x:v>conservation_lab_media_01</x:v>
      </x:c>
      <x:c r="C13" s="12" t="str">
        <x:v>conservation-methods</x:v>
      </x:c>
      <x:c r="D13" s="12" t="str">
        <x:v>tool</x:v>
      </x:c>
      <x:c r="E13" s="13" t="n">
        <x:v>1</x:v>
      </x:c>
      <x:c r="F13" s="12" t="str">
        <x:v>true</x:v>
      </x:c>
      <x:c r="G13" s="15" t="str">
        <x:f>IF(B13="","",IFERROR(VLOOKUP(B13,Slots!$A$2:$D$501,2,FALSE),"Unknown slot"))</x:f>
        <x:v>conservation_lab</x:v>
      </x:c>
      <x:c r="H13" s="15" t="str">
        <x:f>IF(G13="","",IFERROR(VLOOKUP(G13,Rooms!$A$2:$B$501,2,FALSE),"Unknown room"))</x:f>
        <x:v>Conservation Lab</x:v>
      </x:c>
      <x:c r="I13" s="15" t="str">
        <x:f>IF(B13="","",IFERROR(VLOOKUP(B13,Slots!$A$2:$D$501,4,FALSE),"Unknown slot"))</x:f>
        <x:v>Rear analysis workbench</x:v>
      </x:c>
      <x:c r="J13" s="15" t="str">
        <x:f>IF(B13="","",IFERROR(VLOOKUP(B13,Slots!$A$2:$E$501,5,FALSE),"Unknown slot"))</x:f>
        <x:v>tool</x:v>
      </x:c>
      <x:c r="K13" s="15" t="n">
        <x:f>IF(B13="","",IFERROR(VLOOKUP(B13,Slots!$A$2:$F$501,6,FALSE),"Unknown slot"))</x:f>
        <x:v>1</x:v>
      </x:c>
    </x:row>
    <x:row r="14" ht="34" customHeight="1">
      <x:c r="A14" s="12" t="str">
        <x:v>historical_society_timeline_01_1</x:v>
      </x:c>
      <x:c r="B14" s="12" t="str">
        <x:v>historical_society_timeline_01</x:v>
      </x:c>
      <x:c r="C14" s="12" t="str">
        <x:v>local_lives</x:v>
      </x:c>
      <x:c r="D14" s="12" t="str">
        <x:v>timeline</x:v>
      </x:c>
      <x:c r="E14" s="13" t="n">
        <x:v>1</x:v>
      </x:c>
      <x:c r="F14" s="12" t="str">
        <x:v>true</x:v>
      </x:c>
      <x:c r="G14" s="15" t="str">
        <x:f>IF(B14="","",IFERROR(VLOOKUP(B14,Slots!$A$2:$D$501,2,FALSE),"Unknown slot"))</x:f>
        <x:v>historical_society</x:v>
      </x:c>
      <x:c r="H14" s="15" t="str">
        <x:f>IF(G14="","",IFERROR(VLOOKUP(G14,Rooms!$A$2:$B$501,2,FALSE),"Unknown room"))</x:f>
        <x:v>Historical Society</x:v>
      </x:c>
      <x:c r="I14" s="15" t="str">
        <x:f>IF(B14="","",IFERROR(VLOOKUP(B14,Slots!$A$2:$D$501,4,FALSE),"Unknown slot"))</x:f>
        <x:v>Local Lives</x:v>
      </x:c>
      <x:c r="J14" s="15" t="str">
        <x:f>IF(B14="","",IFERROR(VLOOKUP(B14,Slots!$A$2:$E$501,5,FALSE),"Unknown slot"))</x:f>
        <x:v>timeline</x:v>
      </x:c>
      <x:c r="K14" s="15" t="n">
        <x:f>IF(B14="","",IFERROR(VLOOKUP(B14,Slots!$A$2:$F$501,6,FALSE),"Unknown slot"))</x:f>
        <x:v>1</x:v>
      </x:c>
    </x:row>
    <x:row r="15" ht="34" customHeight="1">
      <x:c r="A15" s="12" t="str">
        <x:v>historical_society_piano_01_1</x:v>
      </x:c>
      <x:c r="B15" s="12" t="str">
        <x:v>historical_society_piano_01</x:v>
      </x:c>
      <x:c r="C15" s="12" t="str">
        <x:v>historical_society_piano_01</x:v>
      </x:c>
      <x:c r="D15" s="12" t="str">
        <x:v>detail</x:v>
      </x:c>
      <x:c r="E15" s="13" t="n">
        <x:v>1</x:v>
      </x:c>
      <x:c r="F15" s="12" t="str">
        <x:v>true</x:v>
      </x:c>
      <x:c r="G15" s="15" t="str">
        <x:f>IF(B15="","",IFERROR(VLOOKUP(B15,Slots!$A$2:$D$501,2,FALSE),"Unknown slot"))</x:f>
        <x:v>historical_society</x:v>
      </x:c>
      <x:c r="H15" s="15" t="str">
        <x:f>IF(G15="","",IFERROR(VLOOKUP(G15,Rooms!$A$2:$B$501,2,FALSE),"Unknown room"))</x:f>
        <x:v>Historical Society</x:v>
      </x:c>
      <x:c r="I15" s="15" t="str">
        <x:f>IF(B15="","",IFERROR(VLOOKUP(B15,Slots!$A$2:$D$501,4,FALSE),"Unknown slot"))</x:f>
        <x:v>Piano</x:v>
      </x:c>
      <x:c r="J15" s="15" t="str">
        <x:f>IF(B15="","",IFERROR(VLOOKUP(B15,Slots!$A$2:$E$501,5,FALSE),"Unknown slot"))</x:f>
        <x:v>detail</x:v>
      </x:c>
      <x:c r="K15" s="15" t="n">
        <x:f>IF(B15="","",IFERROR(VLOOKUP(B15,Slots!$A$2:$F$501,6,FALSE),"Unknown slot"))</x:f>
        <x:v>1</x:v>
      </x:c>
    </x:row>
    <x:row r="16" ht="34" customHeight="1">
      <x:c r="A16" s="12" t="str">
        <x:v>historical_society_table_01_1</x:v>
      </x:c>
      <x:c r="B16" s="12" t="str">
        <x:v>historical_society_table_01</x:v>
      </x:c>
      <x:c r="C16" s="12" t="str">
        <x:v>historical_society_table_01</x:v>
      </x:c>
      <x:c r="D16" s="12" t="str">
        <x:v>detail</x:v>
      </x:c>
      <x:c r="E16" s="13" t="n">
        <x:v>1</x:v>
      </x:c>
      <x:c r="F16" s="12" t="str">
        <x:v>true</x:v>
      </x:c>
      <x:c r="G16" s="15" t="str">
        <x:f>IF(B16="","",IFERROR(VLOOKUP(B16,Slots!$A$2:$D$501,2,FALSE),"Unknown slot"))</x:f>
        <x:v>historical_society</x:v>
      </x:c>
      <x:c r="H16" s="15" t="str">
        <x:f>IF(G16="","",IFERROR(VLOOKUP(G16,Rooms!$A$2:$B$501,2,FALSE),"Unknown room"))</x:f>
        <x:v>Historical Society</x:v>
      </x:c>
      <x:c r="I16" s="15" t="str">
        <x:f>IF(B16="","",IFERROR(VLOOKUP(B16,Slots!$A$2:$D$501,4,FALSE),"Unknown slot"))</x:f>
        <x:v>Billiards table</x:v>
      </x:c>
      <x:c r="J16" s="15" t="str">
        <x:f>IF(B16="","",IFERROR(VLOOKUP(B16,Slots!$A$2:$E$501,5,FALSE),"Unknown slot"))</x:f>
        <x:v>detail</x:v>
      </x:c>
      <x:c r="K16" s="15" t="n">
        <x:f>IF(B16="","",IFERROR(VLOOKUP(B16,Slots!$A$2:$F$501,6,FALSE),"Unknown slot"))</x:f>
        <x:v>1</x:v>
      </x:c>
    </x:row>
    <x:row r="17" ht="34" customHeight="1">
      <x:c r="A17" s="12" t="str">
        <x:v>attic_timeline_01_1</x:v>
      </x:c>
      <x:c r="B17" s="12" t="str">
        <x:v>attic_timeline_01</x:v>
      </x:c>
      <x:c r="C17" s="12" t="str">
        <x:v>family_traces</x:v>
      </x:c>
      <x:c r="D17" s="12" t="str">
        <x:v>timeline</x:v>
      </x:c>
      <x:c r="E17" s="13" t="n">
        <x:v>1</x:v>
      </x:c>
      <x:c r="F17" s="12" t="str">
        <x:v>true</x:v>
      </x:c>
      <x:c r="G17" s="15" t="str">
        <x:f>IF(B17="","",IFERROR(VLOOKUP(B17,Slots!$A$2:$D$501,2,FALSE),"Unknown slot"))</x:f>
        <x:v>attic</x:v>
      </x:c>
      <x:c r="H17" s="15" t="str">
        <x:f>IF(G17="","",IFERROR(VLOOKUP(G17,Rooms!$A$2:$B$501,2,FALSE),"Unknown room"))</x:f>
        <x:v>Attic</x:v>
      </x:c>
      <x:c r="I17" s="15" t="str">
        <x:f>IF(B17="","",IFERROR(VLOOKUP(B17,Slots!$A$2:$D$501,4,FALSE),"Unknown slot"))</x:f>
        <x:v>Family Traces</x:v>
      </x:c>
      <x:c r="J17" s="15" t="str">
        <x:f>IF(B17="","",IFERROR(VLOOKUP(B17,Slots!$A$2:$E$501,5,FALSE),"Unknown slot"))</x:f>
        <x:v>timeline</x:v>
      </x:c>
      <x:c r="K17" s="15" t="n">
        <x:f>IF(B17="","",IFERROR(VLOOKUP(B17,Slots!$A$2:$F$501,6,FALSE),"Unknown slot"))</x:f>
        <x:v>1</x:v>
      </x:c>
    </x:row>
    <x:row r="18" ht="34" customHeight="1">
      <x:c r="A18" s="12" t="str">
        <x:v>natural_history_specimen_01_1</x:v>
      </x:c>
      <x:c r="B18" s="12" t="str">
        <x:v>natural_history_specimen_01</x:v>
      </x:c>
      <x:c r="C18" s="12" t="str">
        <x:v>natural-history-specimen</x:v>
      </x:c>
      <x:c r="D18" s="12" t="str">
        <x:v>detail</x:v>
      </x:c>
      <x:c r="E18" s="13" t="n">
        <x:v>1</x:v>
      </x:c>
      <x:c r="F18" s="12" t="str">
        <x:v>true</x:v>
      </x:c>
      <x:c r="G18" s="15" t="str">
        <x:f>IF(B18="","",IFERROR(VLOOKUP(B18,Slots!$A$2:$D$501,2,FALSE),"Unknown slot"))</x:f>
        <x:v>natural_history</x:v>
      </x:c>
      <x:c r="H18" s="15" t="str">
        <x:f>IF(G18="","",IFERROR(VLOOKUP(G18,Rooms!$A$2:$B$501,2,FALSE),"Unknown room"))</x:f>
        <x:v>Natural History Museum</x:v>
      </x:c>
      <x:c r="I18" s="15" t="str">
        <x:f>IF(B18="","",IFERROR(VLOOKUP(B18,Slots!$A$2:$D$501,4,FALSE),"Unknown slot"))</x:f>
        <x:v>Tusk specimen</x:v>
      </x:c>
      <x:c r="J18" s="15" t="str">
        <x:f>IF(B18="","",IFERROR(VLOOKUP(B18,Slots!$A$2:$E$501,5,FALSE),"Unknown slot"))</x:f>
        <x:v>detail</x:v>
      </x:c>
      <x:c r="K18" s="15" t="n">
        <x:f>IF(B18="","",IFERROR(VLOOKUP(B18,Slots!$A$2:$F$501,6,FALSE),"Unknown slot"))</x:f>
        <x:v>1</x:v>
      </x:c>
    </x:row>
    <x:row r="19" ht="34" customHeight="1">
      <x:c r="A19" s="12" t="str">
        <x:v>natural_history_specimen_01_label_1</x:v>
      </x:c>
      <x:c r="B19" s="12" t="str">
        <x:v>natural_history_specimen_01_label</x:v>
      </x:c>
      <x:c r="C19" s="12" t="str">
        <x:v>natural-history-specimen</x:v>
      </x:c>
      <x:c r="D19" s="12" t="str">
        <x:v>detail</x:v>
      </x:c>
      <x:c r="E19" s="13" t="n">
        <x:v>1</x:v>
      </x:c>
      <x:c r="F19" s="12" t="str">
        <x:v>true</x:v>
      </x:c>
      <x:c r="G19" s="15" t="str">
        <x:f>IF(B19="","",IFERROR(VLOOKUP(B19,Slots!$A$2:$D$501,2,FALSE),"Unknown slot"))</x:f>
        <x:v>natural_history</x:v>
      </x:c>
      <x:c r="H19" s="15" t="str">
        <x:f>IF(G19="","",IFERROR(VLOOKUP(G19,Rooms!$A$2:$B$501,2,FALSE),"Unknown room"))</x:f>
        <x:v>Natural History Museum</x:v>
      </x:c>
      <x:c r="I19" s="15" t="str">
        <x:f>IF(B19="","",IFERROR(VLOOKUP(B19,Slots!$A$2:$D$501,4,FALSE),"Unknown slot"))</x:f>
        <x:v>Specimen label</x:v>
      </x:c>
      <x:c r="J19" s="15" t="str">
        <x:f>IF(B19="","",IFERROR(VLOOKUP(B19,Slots!$A$2:$E$501,5,FALSE),"Unknown slot"))</x:f>
        <x:v>detail</x:v>
      </x:c>
      <x:c r="K19" s="15" t="n">
        <x:f>IF(B19="","",IFERROR(VLOOKUP(B19,Slots!$A$2:$F$501,6,FALSE),"Unknown slot"))</x:f>
        <x:v>1</x:v>
      </x:c>
    </x:row>
    <x:row r="20" ht="34" customHeight="1">
      <x:c r="A20" s="12" t="str">
        <x:v>natural_history_panel_01_1</x:v>
      </x:c>
      <x:c r="B20" s="12" t="str">
        <x:v>natural_history_panel_01</x:v>
      </x:c>
      <x:c r="C20" s="12" t="str">
        <x:v>natural_history_intro</x:v>
      </x:c>
      <x:c r="D20" s="12" t="str">
        <x:v>detail</x:v>
      </x:c>
      <x:c r="E20" s="13" t="n">
        <x:v>1</x:v>
      </x:c>
      <x:c r="F20" s="12" t="str">
        <x:v>true</x:v>
      </x:c>
      <x:c r="G20" s="15" t="str">
        <x:f>IF(B20="","",IFERROR(VLOOKUP(B20,Slots!$A$2:$D$501,2,FALSE),"Unknown slot"))</x:f>
        <x:v>natural_history</x:v>
      </x:c>
      <x:c r="H20" s="15" t="str">
        <x:f>IF(G20="","",IFERROR(VLOOKUP(G20,Rooms!$A$2:$B$501,2,FALSE),"Unknown room"))</x:f>
        <x:v>Natural History Museum</x:v>
      </x:c>
      <x:c r="I20" s="15" t="str">
        <x:f>IF(B20="","",IFERROR(VLOOKUP(B20,Slots!$A$2:$D$501,4,FALSE),"Unknown slot"))</x:f>
        <x:v>Elephant interpretation panel</x:v>
      </x:c>
      <x:c r="J20" s="15" t="str">
        <x:f>IF(B20="","",IFERROR(VLOOKUP(B20,Slots!$A$2:$E$501,5,FALSE),"Unknown slot"))</x:f>
        <x:v>detail</x:v>
      </x:c>
      <x:c r="K20" s="15" t="n">
        <x:f>IF(B20="","",IFERROR(VLOOKUP(B20,Slots!$A$2:$F$501,6,FALSE),"Unknown slot"))</x:f>
        <x:v>1</x:v>
      </x:c>
    </x:row>
    <x:row r="21" ht="34" customHeight="1">
      <x:c r="A21" s="12" t="str">
        <x:v>natural_history_map_01_1</x:v>
      </x:c>
      <x:c r="B21" s="12" t="str">
        <x:v>natural_history_map_01</x:v>
      </x:c>
      <x:c r="C21" s="12" t="str">
        <x:v>natural-history-map</x:v>
      </x:c>
      <x:c r="D21" s="12" t="str">
        <x:v>tool</x:v>
      </x:c>
      <x:c r="E21" s="13" t="n">
        <x:v>1</x:v>
      </x:c>
      <x:c r="F21" s="12" t="str">
        <x:v>true</x:v>
      </x:c>
      <x:c r="G21" s="15" t="str">
        <x:f>IF(B21="","",IFERROR(VLOOKUP(B21,Slots!$A$2:$D$501,2,FALSE),"Unknown slot"))</x:f>
        <x:v>natural_history</x:v>
      </x:c>
      <x:c r="H21" s="15" t="str">
        <x:f>IF(G21="","",IFERROR(VLOOKUP(G21,Rooms!$A$2:$B$501,2,FALSE),"Unknown room"))</x:f>
        <x:v>Natural History Museum</x:v>
      </x:c>
      <x:c r="I21" s="15" t="str">
        <x:f>IF(B21="","",IFERROR(VLOOKUP(B21,Slots!$A$2:$D$501,4,FALSE),"Unknown slot"))</x:f>
        <x:v>Wall map</x:v>
      </x:c>
      <x:c r="J21" s="15" t="str">
        <x:f>IF(B21="","",IFERROR(VLOOKUP(B21,Slots!$A$2:$E$501,5,FALSE),"Unknown slot"))</x:f>
        <x:v>tool</x:v>
      </x:c>
      <x:c r="K21" s="15" t="n">
        <x:f>IF(B21="","",IFERROR(VLOOKUP(B21,Slots!$A$2:$F$501,6,FALSE),"Unknown slot"))</x:f>
        <x:v>1</x:v>
      </x:c>
    </x:row>
    <x:row r="22" ht="34" customHeight="1">
      <x:c r="A22" s="12" t="str">
        <x:v>natural_history_timeline_01_1</x:v>
      </x:c>
      <x:c r="B22" s="12" t="str">
        <x:v>natural_history_timeline_01</x:v>
      </x:c>
      <x:c r="C22" s="12" t="str">
        <x:v>proboscidean-timeline</x:v>
      </x:c>
      <x:c r="D22" s="12" t="str">
        <x:v>tool</x:v>
      </x:c>
      <x:c r="E22" s="13" t="n">
        <x:v>1</x:v>
      </x:c>
      <x:c r="F22" s="12" t="str">
        <x:v>true</x:v>
      </x:c>
      <x:c r="G22" s="15" t="str">
        <x:f>IF(B22="","",IFERROR(VLOOKUP(B22,Slots!$A$2:$D$501,2,FALSE),"Unknown slot"))</x:f>
        <x:v>natural_history</x:v>
      </x:c>
      <x:c r="H22" s="15" t="str">
        <x:f>IF(G22="","",IFERROR(VLOOKUP(G22,Rooms!$A$2:$B$501,2,FALSE),"Unknown room"))</x:f>
        <x:v>Natural History Museum</x:v>
      </x:c>
      <x:c r="I22" s="15" t="str">
        <x:f>IF(B22="","",IFERROR(VLOOKUP(B22,Slots!$A$2:$D$501,4,FALSE),"Unknown slot"))</x:f>
        <x:v>Deep-time explorer</x:v>
      </x:c>
      <x:c r="J22" s="15" t="str">
        <x:f>IF(B22="","",IFERROR(VLOOKUP(B22,Slots!$A$2:$E$501,5,FALSE),"Unknown slot"))</x:f>
        <x:v>tool</x:v>
      </x:c>
      <x:c r="K22" s="15" t="n">
        <x:f>IF(B22="","",IFERROR(VLOOKUP(B22,Slots!$A$2:$F$501,6,FALSE),"Unknown slot"))</x:f>
        <x:v>1</x:v>
      </x:c>
    </x:row>
    <x:row r="23" ht="34" customHeight="1">
      <x:c r="A23" s="12" t="str">
        <x:v>natural_history_map_02_1</x:v>
      </x:c>
      <x:c r="B23" s="12" t="str">
        <x:v>natural_history_map_02</x:v>
      </x:c>
      <x:c r="C23" s="12" t="str">
        <x:v>habitation-map</x:v>
      </x:c>
      <x:c r="D23" s="12" t="str">
        <x:v>tool</x:v>
      </x:c>
      <x:c r="E23" s="13" t="n">
        <x:v>1</x:v>
      </x:c>
      <x:c r="F23" s="12" t="str">
        <x:v>true</x:v>
      </x:c>
      <x:c r="G23" s="15" t="str">
        <x:f>IF(B23="","",IFERROR(VLOOKUP(B23,Slots!$A$2:$D$501,2,FALSE),"Unknown slot"))</x:f>
        <x:v>natural_history</x:v>
      </x:c>
      <x:c r="H23" s="15" t="str">
        <x:f>IF(G23="","",IFERROR(VLOOKUP(G23,Rooms!$A$2:$B$501,2,FALSE),"Unknown room"))</x:f>
        <x:v>Natural History Museum</x:v>
      </x:c>
      <x:c r="I23" s="15" t="str">
        <x:f>IF(B23="","",IFERROR(VLOOKUP(B23,Slots!$A$2:$D$501,4,FALSE),"Unknown slot"))</x:f>
        <x:v>Habitation map within explorer</x:v>
      </x:c>
      <x:c r="J23" s="15" t="str">
        <x:f>IF(B23="","",IFERROR(VLOOKUP(B23,Slots!$A$2:$E$501,5,FALSE),"Unknown slot"))</x:f>
        <x:v>tool</x:v>
      </x:c>
      <x:c r="K23" s="15" t="n">
        <x:f>IF(B23="","",IFERROR(VLOOKUP(B23,Slots!$A$2:$F$501,6,FALSE),"Unknown slot"))</x:f>
        <x:v>1</x:v>
      </x:c>
    </x:row>
    <x:row r="24" ht="34" customHeight="1">
      <x:c r="A24" s="12" t="str">
        <x:v>natural_history_timeline_02_1</x:v>
      </x:c>
      <x:c r="B24" s="12" t="str">
        <x:v>natural_history_timeline_02</x:v>
      </x:c>
      <x:c r="C24" s="12" t="str">
        <x:v>deep_time_evidence</x:v>
      </x:c>
      <x:c r="D24" s="12" t="str">
        <x:v>timeline</x:v>
      </x:c>
      <x:c r="E24" s="13" t="n">
        <x:v>1</x:v>
      </x:c>
      <x:c r="F24" s="12" t="str">
        <x:v>true</x:v>
      </x:c>
      <x:c r="G24" s="15" t="str">
        <x:f>IF(B24="","",IFERROR(VLOOKUP(B24,Slots!$A$2:$D$501,2,FALSE),"Unknown slot"))</x:f>
        <x:v>natural_history</x:v>
      </x:c>
      <x:c r="H24" s="15" t="str">
        <x:f>IF(G24="","",IFERROR(VLOOKUP(G24,Rooms!$A$2:$B$501,2,FALSE),"Unknown room"))</x:f>
        <x:v>Natural History Museum</x:v>
      </x:c>
      <x:c r="I24" s="15" t="str">
        <x:f>IF(B24="","",IFERROR(VLOOKUP(B24,Slots!$A$2:$D$501,4,FALSE),"Unknown slot"))</x:f>
        <x:v>Arrange the evidence</x:v>
      </x:c>
      <x:c r="J24" s="15" t="str">
        <x:f>IF(B24="","",IFERROR(VLOOKUP(B24,Slots!$A$2:$E$501,5,FALSE),"Unknown slot"))</x:f>
        <x:v>timeline</x:v>
      </x:c>
      <x:c r="K24" s="15" t="n">
        <x:f>IF(B24="","",IFERROR(VLOOKUP(B24,Slots!$A$2:$F$501,6,FALSE),"Unknown slot"))</x:f>
        <x:v>1</x:v>
      </x:c>
    </x:row>
    <x:row r="25" ht="34" customHeight="1">
      <x:c r="A25" s="12" t="str">
        <x:v>natural_history_inquiry_01_1</x:v>
      </x:c>
      <x:c r="B25" s="12" t="str">
        <x:v>natural_history_inquiry_01</x:v>
      </x:c>
      <x:c r="C25" s="12" t="str">
        <x:v>natural-history-tusk</x:v>
      </x:c>
      <x:c r="D25" s="12" t="str">
        <x:v>tool</x:v>
      </x:c>
      <x:c r="E25" s="13" t="n">
        <x:v>1</x:v>
      </x:c>
      <x:c r="F25" s="12" t="str">
        <x:v>true</x:v>
      </x:c>
      <x:c r="G25" s="15" t="str">
        <x:f>IF(B25="","",IFERROR(VLOOKUP(B25,Slots!$A$2:$D$501,2,FALSE),"Unknown slot"))</x:f>
        <x:v>natural_history</x:v>
      </x:c>
      <x:c r="H25" s="15" t="str">
        <x:f>IF(G25="","",IFERROR(VLOOKUP(G25,Rooms!$A$2:$B$501,2,FALSE),"Unknown room"))</x:f>
        <x:v>Natural History Museum</x:v>
      </x:c>
      <x:c r="I25" s="15" t="str">
        <x:f>IF(B25="","",IFERROR(VLOOKUP(B25,Slots!$A$2:$D$501,4,FALSE),"Unknown slot"))</x:f>
        <x:v>Ivory inquiry</x:v>
      </x:c>
      <x:c r="J25" s="15" t="str">
        <x:f>IF(B25="","",IFERROR(VLOOKUP(B25,Slots!$A$2:$E$501,5,FALSE),"Unknown slot"))</x:f>
        <x:v>tool</x:v>
      </x:c>
      <x:c r="K25" s="15" t="n">
        <x:f>IF(B25="","",IFERROR(VLOOKUP(B25,Slots!$A$2:$F$501,6,FALSE),"Unknown slot"))</x:f>
        <x:v>1</x:v>
      </x:c>
    </x:row>
    <x:row r="26" ht="34" customHeight="1">
      <x:c r="A26" s="12" t="str">
        <x:v>conservators_office_terminal_01_1</x:v>
      </x:c>
      <x:c r="B26" s="12" t="str">
        <x:v>conservators_office_terminal_01</x:v>
      </x:c>
      <x:c r="C26" s="12" t="str">
        <x:v>conservator-terminal</x:v>
      </x:c>
      <x:c r="D26" s="12" t="str">
        <x:v>tool</x:v>
      </x:c>
      <x:c r="E26" s="13" t="n">
        <x:v>1</x:v>
      </x:c>
      <x:c r="F26" s="12" t="str">
        <x:v>true</x:v>
      </x:c>
      <x:c r="G26" s="15" t="str">
        <x:f>IF(B26="","",IFERROR(VLOOKUP(B26,Slots!$A$2:$D$501,2,FALSE),"Unknown slot"))</x:f>
        <x:v>conservators_office</x:v>
      </x:c>
      <x:c r="H26" s="15" t="str">
        <x:f>IF(G26="","",IFERROR(VLOOKUP(G26,Rooms!$A$2:$B$501,2,FALSE),"Unknown room"))</x:f>
        <x:v>Conservator's Office</x:v>
      </x:c>
      <x:c r="I26" s="15" t="str">
        <x:f>IF(B26="","",IFERROR(VLOOKUP(B26,Slots!$A$2:$D$501,4,FALSE),"Unknown slot"))</x:f>
        <x:v>Desk terminal</x:v>
      </x:c>
      <x:c r="J26" s="15" t="str">
        <x:f>IF(B26="","",IFERROR(VLOOKUP(B26,Slots!$A$2:$E$501,5,FALSE),"Unknown slot"))</x:f>
        <x:v>tool</x:v>
      </x:c>
      <x:c r="K26" s="15" t="n">
        <x:f>IF(B26="","",IFERROR(VLOOKUP(B26,Slots!$A$2:$F$501,6,FALSE),"Unknown slot"))</x:f>
        <x:v>1</x:v>
      </x:c>
    </x:row>
    <x:row r="27" ht="34" customHeight="1">
      <x:c r="A27" s="12" t="str">
        <x:v>conservators_office_panel_01_1</x:v>
      </x:c>
      <x:c r="B27" s="12" t="str">
        <x:v>conservators_office_panel_01</x:v>
      </x:c>
      <x:c r="C27" s="12" t="str">
        <x:v>conservators_office_intro</x:v>
      </x:c>
      <x:c r="D27" s="12" t="str">
        <x:v>detail</x:v>
      </x:c>
      <x:c r="E27" s="13" t="n">
        <x:v>1</x:v>
      </x:c>
      <x:c r="F27" s="12" t="str">
        <x:v>true</x:v>
      </x:c>
      <x:c r="G27" s="15" t="str">
        <x:f>IF(B27="","",IFERROR(VLOOKUP(B27,Slots!$A$2:$D$501,2,FALSE),"Unknown slot"))</x:f>
        <x:v>conservators_office</x:v>
      </x:c>
      <x:c r="H27" s="15" t="str">
        <x:f>IF(G27="","",IFERROR(VLOOKUP(G27,Rooms!$A$2:$B$501,2,FALSE),"Unknown room"))</x:f>
        <x:v>Conservator's Office</x:v>
      </x:c>
      <x:c r="I27" s="15" t="str">
        <x:f>IF(B27="","",IFERROR(VLOOKUP(B27,Slots!$A$2:$D$501,4,FALSE),"Unknown slot"))</x:f>
        <x:v>Elephant wall panel</x:v>
      </x:c>
      <x:c r="J27" s="15" t="str">
        <x:f>IF(B27="","",IFERROR(VLOOKUP(B27,Slots!$A$2:$E$501,5,FALSE),"Unknown slot"))</x:f>
        <x:v>detail</x:v>
      </x:c>
      <x:c r="K27" s="15" t="n">
        <x:f>IF(B27="","",IFERROR(VLOOKUP(B27,Slots!$A$2:$F$501,6,FALSE),"Unknown slot"))</x:f>
        <x:v>1</x:v>
      </x:c>
    </x:row>
    <x:row r="28" ht="34" customHeight="1">
      <x:c r="A28" s="12" t="str">
        <x:v>lab_attic_context_01_1</x:v>
      </x:c>
      <x:c r="B28" s="12" t="str">
        <x:v>lab_attic_context_01</x:v>
      </x:c>
      <x:c r="C28" s="12" t="str">
        <x:v>lab-attic-sequence</x:v>
      </x:c>
      <x:c r="D28" s="12" t="str">
        <x:v>tool</x:v>
      </x:c>
      <x:c r="E28" s="13" t="n">
        <x:v>1</x:v>
      </x:c>
      <x:c r="F28" s="12" t="str">
        <x:v>true</x:v>
      </x:c>
      <x:c r="G28" s="15" t="str">
        <x:f>IF(B28="","",IFERROR(VLOOKUP(B28,Slots!$A$2:$D$501,2,FALSE),"Unknown slot"))</x:f>
        <x:v>lab</x:v>
      </x:c>
      <x:c r="H28" s="15" t="str">
        <x:f>IF(G28="","",IFERROR(VLOOKUP(G28,Rooms!$A$2:$B$501,2,FALSE),"Unknown room"))</x:f>
        <x:v>Lab</x:v>
      </x:c>
      <x:c r="I28" s="15" t="str">
        <x:f>IF(B28="","",IFERROR(VLOOKUP(B28,Slots!$A$2:$D$501,4,FALSE),"Unknown slot"))</x:f>
        <x:v>Attic access context</x:v>
      </x:c>
      <x:c r="J28" s="15" t="str">
        <x:f>IF(B28="","",IFERROR(VLOOKUP(B28,Slots!$A$2:$E$501,5,FALSE),"Unknown slot"))</x:f>
        <x:v>tool</x:v>
      </x:c>
      <x:c r="K28" s="15" t="n">
        <x:f>IF(B28="","",IFERROR(VLOOKUP(B28,Slots!$A$2:$F$501,6,FALSE),"Unknown slot"))</x:f>
        <x:v>1</x:v>
      </x:c>
    </x:row>
    <x:row r="29" ht="34" customHeight="1">
      <x:c r="A29" s="12" t="str">
        <x:v>geib-flute</x:v>
      </x:c>
      <x:c r="B29" s="12" t="str">
        <x:v>natural_history_panel_02</x:v>
      </x:c>
      <x:c r="C29" s="12" t="str">
        <x:v>geib-flute</x:v>
      </x:c>
      <x:c r="D29" s="12" t="str">
        <x:v>detail</x:v>
      </x:c>
      <x:c r="E29" s="13" t="n">
        <x:v>1</x:v>
      </x:c>
      <x:c r="F29" s="12" t="str">
        <x:v>true</x:v>
      </x:c>
      <x:c r="G29" s="15" t="str">
        <x:f>IF(B29="","",IFERROR(VLOOKUP(B29,Slots!$A$2:$D$501,2,FALSE),"Unknown slot"))</x:f>
        <x:v>natural_history</x:v>
      </x:c>
      <x:c r="H29" s="15" t="str">
        <x:f>IF(G29="","",IFERROR(VLOOKUP(G29,Rooms!$A$2:$B$501,2,FALSE),"Unknown room"))</x:f>
        <x:v>Natural History Museum</x:v>
      </x:c>
      <x:c r="I29" s="15" t="str">
        <x:f>IF(B29="","",IFERROR(VLOOKUP(B29,Slots!$A$2:$D$501,4,FALSE),"Unknown slot"))</x:f>
        <x:v>Central recessed panel</x:v>
      </x:c>
      <x:c r="J29" s="15" t="str">
        <x:f>IF(B29="","",IFERROR(VLOOKUP(B29,Slots!$A$2:$E$501,5,FALSE),"Unknown slot"))</x:f>
        <x:v>collection</x:v>
      </x:c>
      <x:c r="K29" s="15" t="n">
        <x:f>IF(B29="","",IFERROR(VLOOKUP(B29,Slots!$A$2:$F$501,6,FALSE),"Unknown slot"))</x:f>
        <x:v>8</x:v>
      </x:c>
    </x:row>
    <x:row r="30" ht="34" customHeight="1">
      <x:c r="A30" s="12" t="str">
        <x:v>draft_historical_society_intro</x:v>
      </x:c>
      <x:c r="B30" s="12" t="str">
        <x:v>historical_society_intro</x:v>
      </x:c>
      <x:c r="C30" s="12" t="str"/>
      <x:c r="D30" s="12" t="str">
        <x:v>detail</x:v>
      </x:c>
      <x:c r="E30" s="13" t="n">
        <x:v>1</x:v>
      </x:c>
      <x:c r="F30" s="12" t="str">
        <x:v>false</x:v>
      </x:c>
      <x:c r="G30" s="15" t="str">
        <x:f>IF(B30="","",IFERROR(VLOOKUP(B30,Slots!$A$2:$D$501,2,FALSE),"Unknown slot"))</x:f>
        <x:v>historical_society</x:v>
      </x:c>
      <x:c r="H30" s="15" t="str">
        <x:f>IF(G30="","",IFERROR(VLOOKUP(G30,Rooms!$A$2:$B$501,2,FALSE),"Unknown room"))</x:f>
        <x:v>Historical Society</x:v>
      </x:c>
      <x:c r="I30" s="15" t="str">
        <x:f>IF(B30="","",IFERROR(VLOOKUP(B30,Slots!$A$2:$D$501,4,FALSE),"Unknown slot"))</x:f>
        <x:v>Historical Society introduction</x:v>
      </x:c>
      <x:c r="J30" s="15" t="str">
        <x:f>IF(B30="","",IFERROR(VLOOKUP(B30,Slots!$A$2:$E$501,5,FALSE),"Unknown slot"))</x:f>
        <x:v>detail</x:v>
      </x:c>
      <x:c r="K30" s="15" t="n">
        <x:f>IF(B30="","",IFERROR(VLOOKUP(B30,Slots!$A$2:$F$501,6,FALSE),"Unknown slot"))</x:f>
        <x:v>1</x:v>
      </x:c>
    </x:row>
    <x:row r="31" ht="34" customHeight="1">
      <x:c r="A31" s="12" t="str">
        <x:v>draft_attic_intro</x:v>
      </x:c>
      <x:c r="B31" s="12" t="str">
        <x:v>attic_intro</x:v>
      </x:c>
      <x:c r="C31" s="12" t="str"/>
      <x:c r="D31" s="12" t="str">
        <x:v>detail</x:v>
      </x:c>
      <x:c r="E31" s="13" t="n">
        <x:v>1</x:v>
      </x:c>
      <x:c r="F31" s="12" t="str">
        <x:v>false</x:v>
      </x:c>
      <x:c r="G31" s="15" t="str">
        <x:f>IF(B31="","",IFERROR(VLOOKUP(B31,Slots!$A$2:$D$501,2,FALSE),"Unknown slot"))</x:f>
        <x:v>attic</x:v>
      </x:c>
      <x:c r="H31" s="15" t="str">
        <x:f>IF(G31="","",IFERROR(VLOOKUP(G31,Rooms!$A$2:$B$501,2,FALSE),"Unknown room"))</x:f>
        <x:v>Attic</x:v>
      </x:c>
      <x:c r="I31" s="15" t="str">
        <x:f>IF(B31="","",IFERROR(VLOOKUP(B31,Slots!$A$2:$D$501,4,FALSE),"Unknown slot"))</x:f>
        <x:v>Attic introduction</x:v>
      </x:c>
      <x:c r="J31" s="15" t="str">
        <x:f>IF(B31="","",IFERROR(VLOOKUP(B31,Slots!$A$2:$E$501,5,FALSE),"Unknown slot"))</x:f>
        <x:v>detail</x:v>
      </x:c>
      <x:c r="K31" s="15" t="n">
        <x:f>IF(B31="","",IFERROR(VLOOKUP(B31,Slots!$A$2:$F$501,6,FALSE),"Unknown slot"))</x:f>
        <x:v>1</x:v>
      </x:c>
    </x:row>
    <x:row r="32" ht="34" customHeight="1">
      <x:c r="A32" s="12" t="str">
        <x:v>draft_natural_history_intro</x:v>
      </x:c>
      <x:c r="B32" s="12" t="str">
        <x:v>natural_history_intro</x:v>
      </x:c>
      <x:c r="C32" s="12" t="str"/>
      <x:c r="D32" s="12" t="str">
        <x:v>detail</x:v>
      </x:c>
      <x:c r="E32" s="13" t="n">
        <x:v>1</x:v>
      </x:c>
      <x:c r="F32" s="12" t="str">
        <x:v>false</x:v>
      </x:c>
      <x:c r="G32" s="15" t="str">
        <x:f>IF(B32="","",IFERROR(VLOOKUP(B32,Slots!$A$2:$D$501,2,FALSE),"Unknown slot"))</x:f>
        <x:v>natural_history</x:v>
      </x:c>
      <x:c r="H32" s="15" t="str">
        <x:f>IF(G32="","",IFERROR(VLOOKUP(G32,Rooms!$A$2:$B$501,2,FALSE),"Unknown room"))</x:f>
        <x:v>Natural History Museum</x:v>
      </x:c>
      <x:c r="I32" s="15" t="str">
        <x:f>IF(B32="","",IFERROR(VLOOKUP(B32,Slots!$A$2:$D$501,4,FALSE),"Unknown slot"))</x:f>
        <x:v>Natural History Museum introduction</x:v>
      </x:c>
      <x:c r="J32" s="15" t="str">
        <x:f>IF(B32="","",IFERROR(VLOOKUP(B32,Slots!$A$2:$E$501,5,FALSE),"Unknown slot"))</x:f>
        <x:v>detail</x:v>
      </x:c>
      <x:c r="K32" s="15" t="n">
        <x:f>IF(B32="","",IFERROR(VLOOKUP(B32,Slots!$A$2:$F$501,6,FALSE),"Unknown slot"))</x:f>
        <x:v>1</x:v>
      </x:c>
    </x:row>
    <x:row r="33" ht="34" customHeight="1">
      <x:c r="A33" s="12" t="str">
        <x:v>draft_conservators_office_intro</x:v>
      </x:c>
      <x:c r="B33" s="12" t="str">
        <x:v>conservators_office_intro</x:v>
      </x:c>
      <x:c r="C33" s="12" t="str"/>
      <x:c r="D33" s="12" t="str">
        <x:v>detail</x:v>
      </x:c>
      <x:c r="E33" s="13" t="n">
        <x:v>1</x:v>
      </x:c>
      <x:c r="F33" s="12" t="str">
        <x:v>false</x:v>
      </x:c>
      <x:c r="G33" s="15" t="str">
        <x:f>IF(B33="","",IFERROR(VLOOKUP(B33,Slots!$A$2:$D$501,2,FALSE),"Unknown slot"))</x:f>
        <x:v>conservators_office</x:v>
      </x:c>
      <x:c r="H33" s="15" t="str">
        <x:f>IF(G33="","",IFERROR(VLOOKUP(G33,Rooms!$A$2:$B$501,2,FALSE),"Unknown room"))</x:f>
        <x:v>Conservator's Office</x:v>
      </x:c>
      <x:c r="I33" s="15" t="str">
        <x:f>IF(B33="","",IFERROR(VLOOKUP(B33,Slots!$A$2:$D$501,4,FALSE),"Unknown slot"))</x:f>
        <x:v>Conservator's Office introduction</x:v>
      </x:c>
      <x:c r="J33" s="15" t="str">
        <x:f>IF(B33="","",IFERROR(VLOOKUP(B33,Slots!$A$2:$E$501,5,FALSE),"Unknown slot"))</x:f>
        <x:v>detail</x:v>
      </x:c>
      <x:c r="K33" s="15" t="n">
        <x:f>IF(B33="","",IFERROR(VLOOKUP(B33,Slots!$A$2:$F$501,6,FALSE),"Unknown slot"))</x:f>
        <x:v>1</x:v>
      </x:c>
    </x:row>
    <x:row r="34" ht="34" customHeight="1">
      <x:c r="A34" s="12" t="str">
        <x:v>draft_lab_intro</x:v>
      </x:c>
      <x:c r="B34" s="12" t="str">
        <x:v>lab_intro</x:v>
      </x:c>
      <x:c r="C34" s="12" t="str"/>
      <x:c r="D34" s="12" t="str">
        <x:v>detail</x:v>
      </x:c>
      <x:c r="E34" s="13" t="n">
        <x:v>1</x:v>
      </x:c>
      <x:c r="F34" s="12" t="str">
        <x:v>false</x:v>
      </x:c>
      <x:c r="G34" s="15" t="str">
        <x:f>IF(B34="","",IFERROR(VLOOKUP(B34,Slots!$A$2:$D$501,2,FALSE),"Unknown slot"))</x:f>
        <x:v>lab</x:v>
      </x:c>
      <x:c r="H34" s="15" t="str">
        <x:f>IF(G34="","",IFERROR(VLOOKUP(G34,Rooms!$A$2:$B$501,2,FALSE),"Unknown room"))</x:f>
        <x:v>Lab</x:v>
      </x:c>
      <x:c r="I34" s="15" t="str">
        <x:f>IF(B34="","",IFERROR(VLOOKUP(B34,Slots!$A$2:$D$501,4,FALSE),"Unknown slot"))</x:f>
        <x:v>Lab introduction</x:v>
      </x:c>
      <x:c r="J34" s="15" t="str">
        <x:f>IF(B34="","",IFERROR(VLOOKUP(B34,Slots!$A$2:$E$501,5,FALSE),"Unknown slot"))</x:f>
        <x:v>detail</x:v>
      </x:c>
      <x:c r="K34" s="15" t="n">
        <x:f>IF(B34="","",IFERROR(VLOOKUP(B34,Slots!$A$2:$F$501,6,FALSE),"Unknown slot"))</x:f>
        <x:v>1</x:v>
      </x:c>
    </x:row>
    <x:row r="35" ht="34" customHeight="1">
      <x:c r="A35" s="12" t="str">
        <x:v>draft_gallery_case_02</x:v>
      </x:c>
      <x:c r="B35" s="12" t="str">
        <x:v>gallery_case_02</x:v>
      </x:c>
      <x:c r="C35" s="12" t="str"/>
      <x:c r="D35" s="12" t="str">
        <x:v>detail</x:v>
      </x:c>
      <x:c r="E35" s="13" t="n">
        <x:v>1</x:v>
      </x:c>
      <x:c r="F35" s="12" t="str">
        <x:v>false</x:v>
      </x:c>
      <x:c r="G35" s="15" t="str">
        <x:f>IF(B35="","",IFERROR(VLOOKUP(B35,Slots!$A$2:$D$501,2,FALSE),"Unknown slot"))</x:f>
        <x:v>gallery</x:v>
      </x:c>
      <x:c r="H35" s="15" t="str">
        <x:f>IF(G35="","",IFERROR(VLOOKUP(G35,Rooms!$A$2:$B$501,2,FALSE),"Unknown room"))</x:f>
        <x:v>Gallery</x:v>
      </x:c>
      <x:c r="I35" s="15" t="str">
        <x:f>IF(B35="","",IFERROR(VLOOKUP(B35,Slots!$A$2:$D$501,4,FALSE),"Unknown slot"))</x:f>
        <x:v>Rear round display</x:v>
      </x:c>
      <x:c r="J35" s="15" t="str">
        <x:f>IF(B35="","",IFERROR(VLOOKUP(B35,Slots!$A$2:$E$501,5,FALSE),"Unknown slot"))</x:f>
        <x:v>collection</x:v>
      </x:c>
      <x:c r="K35" s="15" t="n">
        <x:f>IF(B35="","",IFERROR(VLOOKUP(B35,Slots!$A$2:$F$501,6,FALSE),"Unknown slot"))</x:f>
        <x:v>8</x:v>
      </x:c>
    </x:row>
    <x:row r="36" ht="34" customHeight="1">
      <x:c r="A36" s="12" t="str">
        <x:v>draft_historical_society_case_01</x:v>
      </x:c>
      <x:c r="B36" s="12" t="str">
        <x:v>historical_society_case_01</x:v>
      </x:c>
      <x:c r="C36" s="12" t="str"/>
      <x:c r="D36" s="12" t="str">
        <x:v>detail</x:v>
      </x:c>
      <x:c r="E36" s="13" t="n">
        <x:v>1</x:v>
      </x:c>
      <x:c r="F36" s="12" t="str">
        <x:v>false</x:v>
      </x:c>
      <x:c r="G36" s="15" t="str">
        <x:f>IF(B36="","",IFERROR(VLOOKUP(B36,Slots!$A$2:$D$501,2,FALSE),"Unknown slot"))</x:f>
        <x:v>historical_society</x:v>
      </x:c>
      <x:c r="H36" s="15" t="str">
        <x:f>IF(G36="","",IFERROR(VLOOKUP(G36,Rooms!$A$2:$B$501,2,FALSE),"Unknown room"))</x:f>
        <x:v>Historical Society</x:v>
      </x:c>
      <x:c r="I36" s="15" t="str">
        <x:f>IF(B36="","",IFERROR(VLOOKUP(B36,Slots!$A$2:$D$501,4,FALSE),"Unknown slot"))</x:f>
        <x:v>Window-side case</x:v>
      </x:c>
      <x:c r="J36" s="15" t="str">
        <x:f>IF(B36="","",IFERROR(VLOOKUP(B36,Slots!$A$2:$E$501,5,FALSE),"Unknown slot"))</x:f>
        <x:v>collection</x:v>
      </x:c>
      <x:c r="K36" s="15" t="n">
        <x:f>IF(B36="","",IFERROR(VLOOKUP(B36,Slots!$A$2:$F$501,6,FALSE),"Unknown slot"))</x:f>
        <x:v>8</x:v>
      </x:c>
    </x:row>
    <x:row r="37" ht="34" customHeight="1">
      <x:c r="A37" s="12" t="str">
        <x:v>draft_historical_society_case_02</x:v>
      </x:c>
      <x:c r="B37" s="12" t="str">
        <x:v>historical_society_case_02</x:v>
      </x:c>
      <x:c r="C37" s="12" t="str"/>
      <x:c r="D37" s="12" t="str">
        <x:v>detail</x:v>
      </x:c>
      <x:c r="E37" s="13" t="n">
        <x:v>1</x:v>
      </x:c>
      <x:c r="F37" s="12" t="str">
        <x:v>false</x:v>
      </x:c>
      <x:c r="G37" s="15" t="str">
        <x:f>IF(B37="","",IFERROR(VLOOKUP(B37,Slots!$A$2:$D$501,2,FALSE),"Unknown slot"))</x:f>
        <x:v>historical_society</x:v>
      </x:c>
      <x:c r="H37" s="15" t="str">
        <x:f>IF(G37="","",IFERROR(VLOOKUP(G37,Rooms!$A$2:$B$501,2,FALSE),"Unknown room"))</x:f>
        <x:v>Historical Society</x:v>
      </x:c>
      <x:c r="I37" s="15" t="str">
        <x:f>IF(B37="","",IFERROR(VLOOKUP(B37,Slots!$A$2:$D$501,4,FALSE),"Unknown slot"))</x:f>
        <x:v>Foreground-right case</x:v>
      </x:c>
      <x:c r="J37" s="15" t="str">
        <x:f>IF(B37="","",IFERROR(VLOOKUP(B37,Slots!$A$2:$E$501,5,FALSE),"Unknown slot"))</x:f>
        <x:v>collection</x:v>
      </x:c>
      <x:c r="K37" s="15" t="n">
        <x:f>IF(B37="","",IFERROR(VLOOKUP(B37,Slots!$A$2:$F$501,6,FALSE),"Unknown slot"))</x:f>
        <x:v>8</x:v>
      </x:c>
    </x:row>
    <x:row r="38" ht="34" customHeight="1">
      <x:c r="A38" s="12" t="str">
        <x:v>draft_attic_trunk_01</x:v>
      </x:c>
      <x:c r="B38" s="12" t="str">
        <x:v>attic_trunk_01</x:v>
      </x:c>
      <x:c r="C38" s="12" t="str"/>
      <x:c r="D38" s="12" t="str">
        <x:v>detail</x:v>
      </x:c>
      <x:c r="E38" s="13" t="n">
        <x:v>1</x:v>
      </x:c>
      <x:c r="F38" s="12" t="str">
        <x:v>false</x:v>
      </x:c>
      <x:c r="G38" s="15" t="str">
        <x:f>IF(B38="","",IFERROR(VLOOKUP(B38,Slots!$A$2:$D$501,2,FALSE),"Unknown slot"))</x:f>
        <x:v>attic</x:v>
      </x:c>
      <x:c r="H38" s="15" t="str">
        <x:f>IF(G38="","",IFERROR(VLOOKUP(G38,Rooms!$A$2:$B$501,2,FALSE),"Unknown room"))</x:f>
        <x:v>Attic</x:v>
      </x:c>
      <x:c r="I38" s="15" t="str">
        <x:f>IF(B38="","",IFERROR(VLOOKUP(B38,Slots!$A$2:$D$501,4,FALSE),"Unknown slot"))</x:f>
        <x:v>Left open trunk</x:v>
      </x:c>
      <x:c r="J38" s="15" t="str">
        <x:f>IF(B38="","",IFERROR(VLOOKUP(B38,Slots!$A$2:$E$501,5,FALSE),"Unknown slot"))</x:f>
        <x:v>collection</x:v>
      </x:c>
      <x:c r="K38" s="15" t="n">
        <x:f>IF(B38="","",IFERROR(VLOOKUP(B38,Slots!$A$2:$F$501,6,FALSE),"Unknown slot"))</x:f>
        <x:v>8</x:v>
      </x:c>
    </x:row>
    <x:row r="39" ht="34" customHeight="1">
      <x:c r="A39" s="12" t="str">
        <x:v>draft_attic_trunk_02</x:v>
      </x:c>
      <x:c r="B39" s="12" t="str">
        <x:v>attic_trunk_02</x:v>
      </x:c>
      <x:c r="C39" s="12" t="str"/>
      <x:c r="D39" s="12" t="str">
        <x:v>detail</x:v>
      </x:c>
      <x:c r="E39" s="13" t="n">
        <x:v>1</x:v>
      </x:c>
      <x:c r="F39" s="12" t="str">
        <x:v>false</x:v>
      </x:c>
      <x:c r="G39" s="15" t="str">
        <x:f>IF(B39="","",IFERROR(VLOOKUP(B39,Slots!$A$2:$D$501,2,FALSE),"Unknown slot"))</x:f>
        <x:v>attic</x:v>
      </x:c>
      <x:c r="H39" s="15" t="str">
        <x:f>IF(G39="","",IFERROR(VLOOKUP(G39,Rooms!$A$2:$B$501,2,FALSE),"Unknown room"))</x:f>
        <x:v>Attic</x:v>
      </x:c>
      <x:c r="I39" s="15" t="str">
        <x:f>IF(B39="","",IFERROR(VLOOKUP(B39,Slots!$A$2:$D$501,4,FALSE),"Unknown slot"))</x:f>
        <x:v>Right open trunk</x:v>
      </x:c>
      <x:c r="J39" s="15" t="str">
        <x:f>IF(B39="","",IFERROR(VLOOKUP(B39,Slots!$A$2:$E$501,5,FALSE),"Unknown slot"))</x:f>
        <x:v>collection</x:v>
      </x:c>
      <x:c r="K39" s="15" t="n">
        <x:f>IF(B39="","",IFERROR(VLOOKUP(B39,Slots!$A$2:$F$501,6,FALSE),"Unknown slot"))</x:f>
        <x:v>8</x:v>
      </x:c>
    </x:row>
    <x:row r="40" ht="34" customHeight="1">
      <x:c r="A40" s="12" t="str">
        <x:v>draft_attic_shelves_01</x:v>
      </x:c>
      <x:c r="B40" s="12" t="str">
        <x:v>attic_shelves_01</x:v>
      </x:c>
      <x:c r="C40" s="12" t="str"/>
      <x:c r="D40" s="12" t="str">
        <x:v>detail</x:v>
      </x:c>
      <x:c r="E40" s="13" t="n">
        <x:v>1</x:v>
      </x:c>
      <x:c r="F40" s="12" t="str">
        <x:v>false</x:v>
      </x:c>
      <x:c r="G40" s="15" t="str">
        <x:f>IF(B40="","",IFERROR(VLOOKUP(B40,Slots!$A$2:$D$501,2,FALSE),"Unknown slot"))</x:f>
        <x:v>attic</x:v>
      </x:c>
      <x:c r="H40" s="15" t="str">
        <x:f>IF(G40="","",IFERROR(VLOOKUP(G40,Rooms!$A$2:$B$501,2,FALSE),"Unknown room"))</x:f>
        <x:v>Attic</x:v>
      </x:c>
      <x:c r="I40" s="15" t="str">
        <x:f>IF(B40="","",IFERROR(VLOOKUP(B40,Slots!$A$2:$D$501,4,FALSE),"Unknown slot"))</x:f>
        <x:v>Shelving</x:v>
      </x:c>
      <x:c r="J40" s="15" t="str">
        <x:f>IF(B40="","",IFERROR(VLOOKUP(B40,Slots!$A$2:$E$501,5,FALSE),"Unknown slot"))</x:f>
        <x:v>collection</x:v>
      </x:c>
      <x:c r="K40" s="15" t="n">
        <x:f>IF(B40="","",IFERROR(VLOOKUP(B40,Slots!$A$2:$F$501,6,FALSE),"Unknown slot"))</x:f>
        <x:v>8</x:v>
      </x:c>
    </x:row>
    <x:row r="41" ht="34" customHeight="1">
      <x:c r="A41" s="12" t="str">
        <x:v>draft_attic_table_01</x:v>
      </x:c>
      <x:c r="B41" s="12" t="str">
        <x:v>attic_table_01</x:v>
      </x:c>
      <x:c r="C41" s="12" t="str"/>
      <x:c r="D41" s="12" t="str">
        <x:v>detail</x:v>
      </x:c>
      <x:c r="E41" s="13" t="n">
        <x:v>1</x:v>
      </x:c>
      <x:c r="F41" s="12" t="str">
        <x:v>false</x:v>
      </x:c>
      <x:c r="G41" s="15" t="str">
        <x:f>IF(B41="","",IFERROR(VLOOKUP(B41,Slots!$A$2:$D$501,2,FALSE),"Unknown slot"))</x:f>
        <x:v>attic</x:v>
      </x:c>
      <x:c r="H41" s="15" t="str">
        <x:f>IF(G41="","",IFERROR(VLOOKUP(G41,Rooms!$A$2:$B$501,2,FALSE),"Unknown room"))</x:f>
        <x:v>Attic</x:v>
      </x:c>
      <x:c r="I41" s="15" t="str">
        <x:f>IF(B41="","",IFERROR(VLOOKUP(B41,Slots!$A$2:$D$501,4,FALSE),"Unknown slot"))</x:f>
        <x:v>Research table</x:v>
      </x:c>
      <x:c r="J41" s="15" t="str">
        <x:f>IF(B41="","",IFERROR(VLOOKUP(B41,Slots!$A$2:$E$501,5,FALSE),"Unknown slot"))</x:f>
        <x:v>collection</x:v>
      </x:c>
      <x:c r="K41" s="15" t="n">
        <x:f>IF(B41="","",IFERROR(VLOOKUP(B41,Slots!$A$2:$F$501,6,FALSE),"Unknown slot"))</x:f>
        <x:v>8</x:v>
      </x:c>
    </x:row>
    <x:row r="42" ht="34" customHeight="1">
      <x:c r="A42" s="12" t="str">
        <x:v>draft_conservators_office_shelves_01</x:v>
      </x:c>
      <x:c r="B42" s="12" t="str">
        <x:v>conservators_office_shelves_01</x:v>
      </x:c>
      <x:c r="C42" s="12" t="str"/>
      <x:c r="D42" s="12" t="str">
        <x:v>detail</x:v>
      </x:c>
      <x:c r="E42" s="13" t="n">
        <x:v>1</x:v>
      </x:c>
      <x:c r="F42" s="12" t="str">
        <x:v>false</x:v>
      </x:c>
      <x:c r="G42" s="15" t="str">
        <x:f>IF(B42="","",IFERROR(VLOOKUP(B42,Slots!$A$2:$D$501,2,FALSE),"Unknown slot"))</x:f>
        <x:v>conservators_office</x:v>
      </x:c>
      <x:c r="H42" s="15" t="str">
        <x:f>IF(G42="","",IFERROR(VLOOKUP(G42,Rooms!$A$2:$B$501,2,FALSE),"Unknown room"))</x:f>
        <x:v>Conservator's Office</x:v>
      </x:c>
      <x:c r="I42" s="15" t="str">
        <x:f>IF(B42="","",IFERROR(VLOOKUP(B42,Slots!$A$2:$D$501,4,FALSE),"Unknown slot"))</x:f>
        <x:v>Left shelving</x:v>
      </x:c>
      <x:c r="J42" s="15" t="str">
        <x:f>IF(B42="","",IFERROR(VLOOKUP(B42,Slots!$A$2:$E$501,5,FALSE),"Unknown slot"))</x:f>
        <x:v>collection</x:v>
      </x:c>
      <x:c r="K42" s="15" t="n">
        <x:f>IF(B42="","",IFERROR(VLOOKUP(B42,Slots!$A$2:$F$501,6,FALSE),"Unknown slot"))</x:f>
        <x:v>8</x:v>
      </x:c>
    </x:row>
    <x:row r="43" ht="34" customHeight="1">
      <x:c r="A43" s="12" t="str">
        <x:v>draft_conservators_office_shelves_02</x:v>
      </x:c>
      <x:c r="B43" s="12" t="str">
        <x:v>conservators_office_shelves_02</x:v>
      </x:c>
      <x:c r="C43" s="12" t="str"/>
      <x:c r="D43" s="12" t="str">
        <x:v>detail</x:v>
      </x:c>
      <x:c r="E43" s="13" t="n">
        <x:v>1</x:v>
      </x:c>
      <x:c r="F43" s="12" t="str">
        <x:v>false</x:v>
      </x:c>
      <x:c r="G43" s="15" t="str">
        <x:f>IF(B43="","",IFERROR(VLOOKUP(B43,Slots!$A$2:$D$501,2,FALSE),"Unknown slot"))</x:f>
        <x:v>conservators_office</x:v>
      </x:c>
      <x:c r="H43" s="15" t="str">
        <x:f>IF(G43="","",IFERROR(VLOOKUP(G43,Rooms!$A$2:$B$501,2,FALSE),"Unknown room"))</x:f>
        <x:v>Conservator's Office</x:v>
      </x:c>
      <x:c r="I43" s="15" t="str">
        <x:f>IF(B43="","",IFERROR(VLOOKUP(B43,Slots!$A$2:$D$501,4,FALSE),"Unknown slot"))</x:f>
        <x:v>Rear shelving</x:v>
      </x:c>
      <x:c r="J43" s="15" t="str">
        <x:f>IF(B43="","",IFERROR(VLOOKUP(B43,Slots!$A$2:$E$501,5,FALSE),"Unknown slot"))</x:f>
        <x:v>collection</x:v>
      </x:c>
      <x:c r="K43" s="15" t="n">
        <x:f>IF(B43="","",IFERROR(VLOOKUP(B43,Slots!$A$2:$F$501,6,FALSE),"Unknown slot"))</x:f>
        <x:v>8</x:v>
      </x:c>
    </x:row>
    <x:row r="44" ht="34" customHeight="1">
      <x:c r="A44" s="12" t="str">
        <x:v>draft_conservators_office_shelves_03</x:v>
      </x:c>
      <x:c r="B44" s="12" t="str">
        <x:v>conservators_office_shelves_03</x:v>
      </x:c>
      <x:c r="C44" s="12" t="str"/>
      <x:c r="D44" s="12" t="str">
        <x:v>detail</x:v>
      </x:c>
      <x:c r="E44" s="13" t="n">
        <x:v>1</x:v>
      </x:c>
      <x:c r="F44" s="12" t="str">
        <x:v>false</x:v>
      </x:c>
      <x:c r="G44" s="15" t="str">
        <x:f>IF(B44="","",IFERROR(VLOOKUP(B44,Slots!$A$2:$D$501,2,FALSE),"Unknown slot"))</x:f>
        <x:v>conservators_office</x:v>
      </x:c>
      <x:c r="H44" s="15" t="str">
        <x:f>IF(G44="","",IFERROR(VLOOKUP(G44,Rooms!$A$2:$B$501,2,FALSE),"Unknown room"))</x:f>
        <x:v>Conservator's Office</x:v>
      </x:c>
      <x:c r="I44" s="15" t="str">
        <x:f>IF(B44="","",IFERROR(VLOOKUP(B44,Slots!$A$2:$D$501,4,FALSE),"Unknown slot"))</x:f>
        <x:v>Right shelving</x:v>
      </x:c>
      <x:c r="J44" s="15" t="str">
        <x:f>IF(B44="","",IFERROR(VLOOKUP(B44,Slots!$A$2:$E$501,5,FALSE),"Unknown slot"))</x:f>
        <x:v>collection</x:v>
      </x:c>
      <x:c r="K44" s="15" t="n">
        <x:f>IF(B44="","",IFERROR(VLOOKUP(B44,Slots!$A$2:$F$501,6,FALSE),"Unknown slot"))</x:f>
        <x:v>8</x:v>
      </x:c>
    </x:row>
    <x:row r="45" ht="34" customHeight="1">
      <x:c r="A45" s="12" t="str">
        <x:v>draft_lab_bench_01</x:v>
      </x:c>
      <x:c r="B45" s="12" t="str">
        <x:v>lab_bench_01</x:v>
      </x:c>
      <x:c r="C45" s="12" t="str"/>
      <x:c r="D45" s="12" t="str">
        <x:v>detail</x:v>
      </x:c>
      <x:c r="E45" s="13" t="n">
        <x:v>1</x:v>
      </x:c>
      <x:c r="F45" s="12" t="str">
        <x:v>false</x:v>
      </x:c>
      <x:c r="G45" s="15" t="str">
        <x:f>IF(B45="","",IFERROR(VLOOKUP(B45,Slots!$A$2:$D$501,2,FALSE),"Unknown slot"))</x:f>
        <x:v>lab</x:v>
      </x:c>
      <x:c r="H45" s="15" t="str">
        <x:f>IF(G45="","",IFERROR(VLOOKUP(G45,Rooms!$A$2:$B$501,2,FALSE),"Unknown room"))</x:f>
        <x:v>Lab</x:v>
      </x:c>
      <x:c r="I45" s="15" t="str">
        <x:f>IF(B45="","",IFERROR(VLOOKUP(B45,Slots!$A$2:$D$501,4,FALSE),"Unknown slot"))</x:f>
        <x:v>Analysis bench</x:v>
      </x:c>
      <x:c r="J45" s="15" t="str">
        <x:f>IF(B45="","",IFERROR(VLOOKUP(B45,Slots!$A$2:$E$501,5,FALSE),"Unknown slot"))</x:f>
        <x:v>collection</x:v>
      </x:c>
      <x:c r="K45" s="15" t="n">
        <x:f>IF(B45="","",IFERROR(VLOOKUP(B45,Slots!$A$2:$F$501,6,FALSE),"Unknown slot"))</x:f>
        <x:v>8</x:v>
      </x:c>
    </x:row>
    <x:row r="46" ht="34" customHeight="1">
      <x:c r="A46" s="12" t="str">
        <x:v>draft_lab_equipment_01</x:v>
      </x:c>
      <x:c r="B46" s="12" t="str">
        <x:v>lab_equipment_01</x:v>
      </x:c>
      <x:c r="C46" s="12" t="str"/>
      <x:c r="D46" s="12" t="str">
        <x:v>detail</x:v>
      </x:c>
      <x:c r="E46" s="13" t="n">
        <x:v>1</x:v>
      </x:c>
      <x:c r="F46" s="12" t="str">
        <x:v>false</x:v>
      </x:c>
      <x:c r="G46" s="15" t="str">
        <x:f>IF(B46="","",IFERROR(VLOOKUP(B46,Slots!$A$2:$D$501,2,FALSE),"Unknown slot"))</x:f>
        <x:v>lab</x:v>
      </x:c>
      <x:c r="H46" s="15" t="str">
        <x:f>IF(G46="","",IFERROR(VLOOKUP(G46,Rooms!$A$2:$B$501,2,FALSE),"Unknown room"))</x:f>
        <x:v>Lab</x:v>
      </x:c>
      <x:c r="I46" s="15" t="str">
        <x:f>IF(B46="","",IFERROR(VLOOKUP(B46,Slots!$A$2:$D$501,4,FALSE),"Unknown slot"))</x:f>
        <x:v>Equipment</x:v>
      </x:c>
      <x:c r="J46" s="15" t="str">
        <x:f>IF(B46="","",IFERROR(VLOOKUP(B46,Slots!$A$2:$E$501,5,FALSE),"Unknown slot"))</x:f>
        <x:v>collection</x:v>
      </x:c>
      <x:c r="K46" s="15" t="n">
        <x:f>IF(B46="","",IFERROR(VLOOKUP(B46,Slots!$A$2:$F$501,6,FALSE),"Unknown slot"))</x:f>
        <x:v>8</x:v>
      </x:c>
    </x:row>
    <x:row r="47" ht="34" customHeight="1">
      <x:c r="A47" s="12" t="str">
        <x:v>draft_lab_cabinet_01</x:v>
      </x:c>
      <x:c r="B47" s="12" t="str">
        <x:v>lab_cabinet_01</x:v>
      </x:c>
      <x:c r="C47" s="12" t="str"/>
      <x:c r="D47" s="12" t="str">
        <x:v>detail</x:v>
      </x:c>
      <x:c r="E47" s="13" t="n">
        <x:v>1</x:v>
      </x:c>
      <x:c r="F47" s="12" t="str">
        <x:v>false</x:v>
      </x:c>
      <x:c r="G47" s="15" t="str">
        <x:f>IF(B47="","",IFERROR(VLOOKUP(B47,Slots!$A$2:$D$501,2,FALSE),"Unknown slot"))</x:f>
        <x:v>lab</x:v>
      </x:c>
      <x:c r="H47" s="15" t="str">
        <x:f>IF(G47="","",IFERROR(VLOOKUP(G47,Rooms!$A$2:$B$501,2,FALSE),"Unknown room"))</x:f>
        <x:v>Lab</x:v>
      </x:c>
      <x:c r="I47" s="15" t="str">
        <x:f>IF(B47="","",IFERROR(VLOOKUP(B47,Slots!$A$2:$D$501,4,FALSE),"Unknown slot"))</x:f>
        <x:v>Left cabinet</x:v>
      </x:c>
      <x:c r="J47" s="15" t="str">
        <x:f>IF(B47="","",IFERROR(VLOOKUP(B47,Slots!$A$2:$E$501,5,FALSE),"Unknown slot"))</x:f>
        <x:v>collection</x:v>
      </x:c>
      <x:c r="K47" s="15" t="n">
        <x:f>IF(B47="","",IFERROR(VLOOKUP(B47,Slots!$A$2:$F$501,6,FALSE),"Unknown slot"))</x:f>
        <x:v>8</x:v>
      </x:c>
    </x:row>
    <x:row r="48" ht="34" customHeight="1">
      <x:c r="A48" s="12" t="str">
        <x:v>draft_lab_cabinet_02</x:v>
      </x:c>
      <x:c r="B48" s="12" t="str">
        <x:v>lab_cabinet_02</x:v>
      </x:c>
      <x:c r="C48" s="12" t="str"/>
      <x:c r="D48" s="12" t="str">
        <x:v>detail</x:v>
      </x:c>
      <x:c r="E48" s="13" t="n">
        <x:v>1</x:v>
      </x:c>
      <x:c r="F48" s="12" t="str">
        <x:v>false</x:v>
      </x:c>
      <x:c r="G48" s="15" t="str">
        <x:f>IF(B48="","",IFERROR(VLOOKUP(B48,Slots!$A$2:$D$501,2,FALSE),"Unknown slot"))</x:f>
        <x:v>lab</x:v>
      </x:c>
      <x:c r="H48" s="15" t="str">
        <x:f>IF(G48="","",IFERROR(VLOOKUP(G48,Rooms!$A$2:$B$501,2,FALSE),"Unknown room"))</x:f>
        <x:v>Lab</x:v>
      </x:c>
      <x:c r="I48" s="15" t="str">
        <x:f>IF(B48="","",IFERROR(VLOOKUP(B48,Slots!$A$2:$D$501,4,FALSE),"Unknown slot"))</x:f>
        <x:v>Right cabinet</x:v>
      </x:c>
      <x:c r="J48" s="15" t="str">
        <x:f>IF(B48="","",IFERROR(VLOOKUP(B48,Slots!$A$2:$E$501,5,FALSE),"Unknown slot"))</x:f>
        <x:v>collection</x:v>
      </x:c>
      <x:c r="K48" s="15" t="n">
        <x:f>IF(B48="","",IFERROR(VLOOKUP(B48,Slots!$A$2:$F$501,6,FALSE),"Unknown slot"))</x:f>
        <x:v>8</x:v>
      </x:c>
    </x:row>
    <x:row r="49" ht="32" customHeight="1">
      <x:c r="A49" s="12"/>
      <x:c r="B49" s="12"/>
      <x:c r="C49" s="12"/>
      <x:c r="D49" s="12"/>
      <x:c r="E49" s="13"/>
      <x:c r="F49" s="12"/>
      <x:c r="G49" s="15" t="str">
        <x:f>IF(B49="","",IFERROR(VLOOKUP(B49,Slots!$A$2:$D$501,2,FALSE),"Unknown slot"))</x:f>
      </x:c>
      <x:c r="H49" s="15" t="str">
        <x:f>IF(G49="","",IFERROR(VLOOKUP(G49,Rooms!$A$2:$B$501,2,FALSE),"Unknown room"))</x:f>
      </x:c>
      <x:c r="I49" s="15" t="str">
        <x:f>IF(B49="","",IFERROR(VLOOKUP(B49,Slots!$A$2:$D$501,4,FALSE),"Unknown slot"))</x:f>
      </x:c>
      <x:c r="J49" s="15" t="str">
        <x:f>IF(B49="","",IFERROR(VLOOKUP(B49,Slots!$A$2:$E$501,5,FALSE),"Unknown slot"))</x:f>
      </x:c>
      <x:c r="K49" s="15" t="str">
        <x:f>IF(B49="","",IFERROR(VLOOKUP(B49,Slots!$A$2:$F$501,6,FALSE),"Unknown slot"))</x:f>
      </x:c>
    </x:row>
    <x:row r="50" ht="32" customHeight="1">
      <x:c r="A50" s="12"/>
      <x:c r="B50" s="12"/>
      <x:c r="C50" s="12"/>
      <x:c r="D50" s="12"/>
      <x:c r="E50" s="13"/>
      <x:c r="F50" s="12"/>
      <x:c r="G50" s="15" t="str">
        <x:f>IF(B50="","",IFERROR(VLOOKUP(B50,Slots!$A$2:$D$501,2,FALSE),"Unknown slot"))</x:f>
      </x:c>
      <x:c r="H50" s="15" t="str">
        <x:f>IF(G50="","",IFERROR(VLOOKUP(G50,Rooms!$A$2:$B$501,2,FALSE),"Unknown room"))</x:f>
      </x:c>
      <x:c r="I50" s="15" t="str">
        <x:f>IF(B50="","",IFERROR(VLOOKUP(B50,Slots!$A$2:$D$501,4,FALSE),"Unknown slot"))</x:f>
      </x:c>
      <x:c r="J50" s="15" t="str">
        <x:f>IF(B50="","",IFERROR(VLOOKUP(B50,Slots!$A$2:$E$501,5,FALSE),"Unknown slot"))</x:f>
      </x:c>
      <x:c r="K50" s="15" t="str">
        <x:f>IF(B50="","",IFERROR(VLOOKUP(B50,Slots!$A$2:$F$501,6,FALSE),"Unknown slot"))</x:f>
      </x:c>
    </x:row>
    <x:row r="51" ht="32" customHeight="1">
      <x:c r="A51" s="12"/>
      <x:c r="B51" s="12"/>
      <x:c r="C51" s="12"/>
      <x:c r="D51" s="12"/>
      <x:c r="E51" s="13"/>
      <x:c r="F51" s="12"/>
      <x:c r="G51" s="15" t="str">
        <x:f>IF(B51="","",IFERROR(VLOOKUP(B51,Slots!$A$2:$D$501,2,FALSE),"Unknown slot"))</x:f>
      </x:c>
      <x:c r="H51" s="15" t="str">
        <x:f>IF(G51="","",IFERROR(VLOOKUP(G51,Rooms!$A$2:$B$501,2,FALSE),"Unknown room"))</x:f>
      </x:c>
      <x:c r="I51" s="15" t="str">
        <x:f>IF(B51="","",IFERROR(VLOOKUP(B51,Slots!$A$2:$D$501,4,FALSE),"Unknown slot"))</x:f>
      </x:c>
      <x:c r="J51" s="15" t="str">
        <x:f>IF(B51="","",IFERROR(VLOOKUP(B51,Slots!$A$2:$E$501,5,FALSE),"Unknown slot"))</x:f>
      </x:c>
      <x:c r="K51" s="15" t="str">
        <x:f>IF(B51="","",IFERROR(VLOOKUP(B51,Slots!$A$2:$F$501,6,FALSE),"Unknown slot"))</x:f>
      </x:c>
    </x:row>
    <x:row r="52" ht="32" customHeight="1">
      <x:c r="A52" s="12"/>
      <x:c r="B52" s="12"/>
      <x:c r="C52" s="12"/>
      <x:c r="D52" s="12"/>
      <x:c r="E52" s="13"/>
      <x:c r="F52" s="12"/>
      <x:c r="G52" s="15" t="str">
        <x:f>IF(B52="","",IFERROR(VLOOKUP(B52,Slots!$A$2:$D$501,2,FALSE),"Unknown slot"))</x:f>
      </x:c>
      <x:c r="H52" s="15" t="str">
        <x:f>IF(G52="","",IFERROR(VLOOKUP(G52,Rooms!$A$2:$B$501,2,FALSE),"Unknown room"))</x:f>
      </x:c>
      <x:c r="I52" s="15" t="str">
        <x:f>IF(B52="","",IFERROR(VLOOKUP(B52,Slots!$A$2:$D$501,4,FALSE),"Unknown slot"))</x:f>
      </x:c>
      <x:c r="J52" s="15" t="str">
        <x:f>IF(B52="","",IFERROR(VLOOKUP(B52,Slots!$A$2:$E$501,5,FALSE),"Unknown slot"))</x:f>
      </x:c>
      <x:c r="K52" s="15" t="str">
        <x:f>IF(B52="","",IFERROR(VLOOKUP(B52,Slots!$A$2:$F$501,6,FALSE),"Unknown slot"))</x:f>
      </x:c>
    </x:row>
    <x:row r="53" ht="32" customHeight="1">
      <x:c r="A53" s="12"/>
      <x:c r="B53" s="12"/>
      <x:c r="C53" s="12"/>
      <x:c r="D53" s="12"/>
      <x:c r="E53" s="13"/>
      <x:c r="F53" s="12"/>
      <x:c r="G53" s="15" t="str">
        <x:f>IF(B53="","",IFERROR(VLOOKUP(B53,Slots!$A$2:$D$501,2,FALSE),"Unknown slot"))</x:f>
      </x:c>
      <x:c r="H53" s="15" t="str">
        <x:f>IF(G53="","",IFERROR(VLOOKUP(G53,Rooms!$A$2:$B$501,2,FALSE),"Unknown room"))</x:f>
      </x:c>
      <x:c r="I53" s="15" t="str">
        <x:f>IF(B53="","",IFERROR(VLOOKUP(B53,Slots!$A$2:$D$501,4,FALSE),"Unknown slot"))</x:f>
      </x:c>
      <x:c r="J53" s="15" t="str">
        <x:f>IF(B53="","",IFERROR(VLOOKUP(B53,Slots!$A$2:$E$501,5,FALSE),"Unknown slot"))</x:f>
      </x:c>
      <x:c r="K53" s="15" t="str">
        <x:f>IF(B53="","",IFERROR(VLOOKUP(B53,Slots!$A$2:$F$501,6,FALSE),"Unknown slot"))</x:f>
      </x:c>
    </x:row>
    <x:row r="54" ht="32" customHeight="1">
      <x:c r="A54" s="12"/>
      <x:c r="B54" s="12"/>
      <x:c r="C54" s="12"/>
      <x:c r="D54" s="12"/>
      <x:c r="E54" s="13"/>
      <x:c r="F54" s="12"/>
      <x:c r="G54" s="15" t="str">
        <x:f>IF(B54="","",IFERROR(VLOOKUP(B54,Slots!$A$2:$D$501,2,FALSE),"Unknown slot"))</x:f>
      </x:c>
      <x:c r="H54" s="15" t="str">
        <x:f>IF(G54="","",IFERROR(VLOOKUP(G54,Rooms!$A$2:$B$501,2,FALSE),"Unknown room"))</x:f>
      </x:c>
      <x:c r="I54" s="15" t="str">
        <x:f>IF(B54="","",IFERROR(VLOOKUP(B54,Slots!$A$2:$D$501,4,FALSE),"Unknown slot"))</x:f>
      </x:c>
      <x:c r="J54" s="15" t="str">
        <x:f>IF(B54="","",IFERROR(VLOOKUP(B54,Slots!$A$2:$E$501,5,FALSE),"Unknown slot"))</x:f>
      </x:c>
      <x:c r="K54" s="15" t="str">
        <x:f>IF(B54="","",IFERROR(VLOOKUP(B54,Slots!$A$2:$F$501,6,FALSE),"Unknown slot"))</x:f>
      </x:c>
    </x:row>
    <x:row r="55" ht="32" customHeight="1">
      <x:c r="A55" s="12"/>
      <x:c r="B55" s="12"/>
      <x:c r="C55" s="12"/>
      <x:c r="D55" s="12"/>
      <x:c r="E55" s="13"/>
      <x:c r="F55" s="12"/>
      <x:c r="G55" s="15" t="str">
        <x:f>IF(B55="","",IFERROR(VLOOKUP(B55,Slots!$A$2:$D$501,2,FALSE),"Unknown slot"))</x:f>
      </x:c>
      <x:c r="H55" s="15" t="str">
        <x:f>IF(G55="","",IFERROR(VLOOKUP(G55,Rooms!$A$2:$B$501,2,FALSE),"Unknown room"))</x:f>
      </x:c>
      <x:c r="I55" s="15" t="str">
        <x:f>IF(B55="","",IFERROR(VLOOKUP(B55,Slots!$A$2:$D$501,4,FALSE),"Unknown slot"))</x:f>
      </x:c>
      <x:c r="J55" s="15" t="str">
        <x:f>IF(B55="","",IFERROR(VLOOKUP(B55,Slots!$A$2:$E$501,5,FALSE),"Unknown slot"))</x:f>
      </x:c>
      <x:c r="K55" s="15" t="str">
        <x:f>IF(B55="","",IFERROR(VLOOKUP(B55,Slots!$A$2:$F$501,6,FALSE),"Unknown slot"))</x:f>
      </x:c>
    </x:row>
    <x:row r="56" ht="32" customHeight="1">
      <x:c r="A56" s="12"/>
      <x:c r="B56" s="12"/>
      <x:c r="C56" s="12"/>
      <x:c r="D56" s="12"/>
      <x:c r="E56" s="13"/>
      <x:c r="F56" s="12"/>
      <x:c r="G56" s="15" t="str">
        <x:f>IF(B56="","",IFERROR(VLOOKUP(B56,Slots!$A$2:$D$501,2,FALSE),"Unknown slot"))</x:f>
      </x:c>
      <x:c r="H56" s="15" t="str">
        <x:f>IF(G56="","",IFERROR(VLOOKUP(G56,Rooms!$A$2:$B$501,2,FALSE),"Unknown room"))</x:f>
      </x:c>
      <x:c r="I56" s="15" t="str">
        <x:f>IF(B56="","",IFERROR(VLOOKUP(B56,Slots!$A$2:$D$501,4,FALSE),"Unknown slot"))</x:f>
      </x:c>
      <x:c r="J56" s="15" t="str">
        <x:f>IF(B56="","",IFERROR(VLOOKUP(B56,Slots!$A$2:$E$501,5,FALSE),"Unknown slot"))</x:f>
      </x:c>
      <x:c r="K56" s="15" t="str">
        <x:f>IF(B56="","",IFERROR(VLOOKUP(B56,Slots!$A$2:$F$501,6,FALSE),"Unknown slot"))</x:f>
      </x:c>
    </x:row>
    <x:row r="57" ht="32" customHeight="1">
      <x:c r="A57" s="12"/>
      <x:c r="B57" s="12"/>
      <x:c r="C57" s="12"/>
      <x:c r="D57" s="12"/>
      <x:c r="E57" s="13"/>
      <x:c r="F57" s="12"/>
      <x:c r="G57" s="15" t="str">
        <x:f>IF(B57="","",IFERROR(VLOOKUP(B57,Slots!$A$2:$D$501,2,FALSE),"Unknown slot"))</x:f>
      </x:c>
      <x:c r="H57" s="15" t="str">
        <x:f>IF(G57="","",IFERROR(VLOOKUP(G57,Rooms!$A$2:$B$501,2,FALSE),"Unknown room"))</x:f>
      </x:c>
      <x:c r="I57" s="15" t="str">
        <x:f>IF(B57="","",IFERROR(VLOOKUP(B57,Slots!$A$2:$D$501,4,FALSE),"Unknown slot"))</x:f>
      </x:c>
      <x:c r="J57" s="15" t="str">
        <x:f>IF(B57="","",IFERROR(VLOOKUP(B57,Slots!$A$2:$E$501,5,FALSE),"Unknown slot"))</x:f>
      </x:c>
      <x:c r="K57" s="15" t="str">
        <x:f>IF(B57="","",IFERROR(VLOOKUP(B57,Slots!$A$2:$F$501,6,FALSE),"Unknown slot"))</x:f>
      </x:c>
    </x:row>
    <x:row r="58" ht="32" customHeight="1">
      <x:c r="A58" s="12"/>
      <x:c r="B58" s="12"/>
      <x:c r="C58" s="12"/>
      <x:c r="D58" s="12"/>
      <x:c r="E58" s="13"/>
      <x:c r="F58" s="12"/>
      <x:c r="G58" s="15" t="str">
        <x:f>IF(B58="","",IFERROR(VLOOKUP(B58,Slots!$A$2:$D$501,2,FALSE),"Unknown slot"))</x:f>
      </x:c>
      <x:c r="H58" s="15" t="str">
        <x:f>IF(G58="","",IFERROR(VLOOKUP(G58,Rooms!$A$2:$B$501,2,FALSE),"Unknown room"))</x:f>
      </x:c>
      <x:c r="I58" s="15" t="str">
        <x:f>IF(B58="","",IFERROR(VLOOKUP(B58,Slots!$A$2:$D$501,4,FALSE),"Unknown slot"))</x:f>
      </x:c>
      <x:c r="J58" s="15" t="str">
        <x:f>IF(B58="","",IFERROR(VLOOKUP(B58,Slots!$A$2:$E$501,5,FALSE),"Unknown slot"))</x:f>
      </x:c>
      <x:c r="K58" s="15" t="str">
        <x:f>IF(B58="","",IFERROR(VLOOKUP(B58,Slots!$A$2:$F$501,6,FALSE),"Unknown slot"))</x:f>
      </x:c>
    </x:row>
    <x:row r="59" ht="32" customHeight="1">
      <x:c r="A59" s="12"/>
      <x:c r="B59" s="12"/>
      <x:c r="C59" s="12"/>
      <x:c r="D59" s="12"/>
      <x:c r="E59" s="13"/>
      <x:c r="F59" s="12"/>
      <x:c r="G59" s="15" t="str">
        <x:f>IF(B59="","",IFERROR(VLOOKUP(B59,Slots!$A$2:$D$501,2,FALSE),"Unknown slot"))</x:f>
      </x:c>
      <x:c r="H59" s="15" t="str">
        <x:f>IF(G59="","",IFERROR(VLOOKUP(G59,Rooms!$A$2:$B$501,2,FALSE),"Unknown room"))</x:f>
      </x:c>
      <x:c r="I59" s="15" t="str">
        <x:f>IF(B59="","",IFERROR(VLOOKUP(B59,Slots!$A$2:$D$501,4,FALSE),"Unknown slot"))</x:f>
      </x:c>
      <x:c r="J59" s="15" t="str">
        <x:f>IF(B59="","",IFERROR(VLOOKUP(B59,Slots!$A$2:$E$501,5,FALSE),"Unknown slot"))</x:f>
      </x:c>
      <x:c r="K59" s="15" t="str">
        <x:f>IF(B59="","",IFERROR(VLOOKUP(B59,Slots!$A$2:$F$501,6,FALSE),"Unknown slot"))</x:f>
      </x:c>
    </x:row>
    <x:row r="60" ht="32" customHeight="1">
      <x:c r="A60" s="12"/>
      <x:c r="B60" s="12"/>
      <x:c r="C60" s="12"/>
      <x:c r="D60" s="12"/>
      <x:c r="E60" s="13"/>
      <x:c r="F60" s="12"/>
      <x:c r="G60" s="15" t="str">
        <x:f>IF(B60="","",IFERROR(VLOOKUP(B60,Slots!$A$2:$D$501,2,FALSE),"Unknown slot"))</x:f>
      </x:c>
      <x:c r="H60" s="15" t="str">
        <x:f>IF(G60="","",IFERROR(VLOOKUP(G60,Rooms!$A$2:$B$501,2,FALSE),"Unknown room"))</x:f>
      </x:c>
      <x:c r="I60" s="15" t="str">
        <x:f>IF(B60="","",IFERROR(VLOOKUP(B60,Slots!$A$2:$D$501,4,FALSE),"Unknown slot"))</x:f>
      </x:c>
      <x:c r="J60" s="15" t="str">
        <x:f>IF(B60="","",IFERROR(VLOOKUP(B60,Slots!$A$2:$E$501,5,FALSE),"Unknown slot"))</x:f>
      </x:c>
      <x:c r="K60" s="15" t="str">
        <x:f>IF(B60="","",IFERROR(VLOOKUP(B60,Slots!$A$2:$F$501,6,FALSE),"Unknown slot"))</x:f>
      </x:c>
    </x:row>
    <x:row r="61" ht="32" customHeight="1">
      <x:c r="A61" s="12"/>
      <x:c r="B61" s="12"/>
      <x:c r="C61" s="12"/>
      <x:c r="D61" s="12"/>
      <x:c r="E61" s="13"/>
      <x:c r="F61" s="12"/>
      <x:c r="G61" s="15" t="str">
        <x:f>IF(B61="","",IFERROR(VLOOKUP(B61,Slots!$A$2:$D$501,2,FALSE),"Unknown slot"))</x:f>
      </x:c>
      <x:c r="H61" s="15" t="str">
        <x:f>IF(G61="","",IFERROR(VLOOKUP(G61,Rooms!$A$2:$B$501,2,FALSE),"Unknown room"))</x:f>
      </x:c>
      <x:c r="I61" s="15" t="str">
        <x:f>IF(B61="","",IFERROR(VLOOKUP(B61,Slots!$A$2:$D$501,4,FALSE),"Unknown slot"))</x:f>
      </x:c>
      <x:c r="J61" s="15" t="str">
        <x:f>IF(B61="","",IFERROR(VLOOKUP(B61,Slots!$A$2:$E$501,5,FALSE),"Unknown slot"))</x:f>
      </x:c>
      <x:c r="K61" s="15" t="str">
        <x:f>IF(B61="","",IFERROR(VLOOKUP(B61,Slots!$A$2:$F$501,6,FALSE),"Unknown slot"))</x:f>
      </x:c>
    </x:row>
    <x:row r="62" ht="32" customHeight="1">
      <x:c r="A62" s="12"/>
      <x:c r="B62" s="12"/>
      <x:c r="C62" s="12"/>
      <x:c r="D62" s="12"/>
      <x:c r="E62" s="13"/>
      <x:c r="F62" s="12"/>
      <x:c r="G62" s="15" t="str">
        <x:f>IF(B62="","",IFERROR(VLOOKUP(B62,Slots!$A$2:$D$501,2,FALSE),"Unknown slot"))</x:f>
      </x:c>
      <x:c r="H62" s="15" t="str">
        <x:f>IF(G62="","",IFERROR(VLOOKUP(G62,Rooms!$A$2:$B$501,2,FALSE),"Unknown room"))</x:f>
      </x:c>
      <x:c r="I62" s="15" t="str">
        <x:f>IF(B62="","",IFERROR(VLOOKUP(B62,Slots!$A$2:$D$501,4,FALSE),"Unknown slot"))</x:f>
      </x:c>
      <x:c r="J62" s="15" t="str">
        <x:f>IF(B62="","",IFERROR(VLOOKUP(B62,Slots!$A$2:$E$501,5,FALSE),"Unknown slot"))</x:f>
      </x:c>
      <x:c r="K62" s="15" t="str">
        <x:f>IF(B62="","",IFERROR(VLOOKUP(B62,Slots!$A$2:$F$501,6,FALSE),"Unknown slot"))</x:f>
      </x:c>
    </x:row>
    <x:row r="63" ht="32" customHeight="1">
      <x:c r="A63" s="12"/>
      <x:c r="B63" s="12"/>
      <x:c r="C63" s="12"/>
      <x:c r="D63" s="12"/>
      <x:c r="E63" s="13"/>
      <x:c r="F63" s="12"/>
      <x:c r="G63" s="15" t="str">
        <x:f>IF(B63="","",IFERROR(VLOOKUP(B63,Slots!$A$2:$D$501,2,FALSE),"Unknown slot"))</x:f>
      </x:c>
      <x:c r="H63" s="15" t="str">
        <x:f>IF(G63="","",IFERROR(VLOOKUP(G63,Rooms!$A$2:$B$501,2,FALSE),"Unknown room"))</x:f>
      </x:c>
      <x:c r="I63" s="15" t="str">
        <x:f>IF(B63="","",IFERROR(VLOOKUP(B63,Slots!$A$2:$D$501,4,FALSE),"Unknown slot"))</x:f>
      </x:c>
      <x:c r="J63" s="15" t="str">
        <x:f>IF(B63="","",IFERROR(VLOOKUP(B63,Slots!$A$2:$E$501,5,FALSE),"Unknown slot"))</x:f>
      </x:c>
      <x:c r="K63" s="15" t="str">
        <x:f>IF(B63="","",IFERROR(VLOOKUP(B63,Slots!$A$2:$F$501,6,FALSE),"Unknown slot"))</x:f>
      </x:c>
    </x:row>
  </x:sheetData>
  <x:conditionalFormatting sqref="C2:C63">
    <x:cfRule type="expression" dxfId="0" priority="1">
      <x:formula>AND($A2&lt;&gt;"",$C2="")</x:formula>
    </x:cfRule>
  </x:conditionalFormatting>
  <x:conditionalFormatting sqref="B2:B63">
    <x:cfRule type="expression" dxfId="1" priority="2">
      <x:formula>AND($A2&lt;&gt;"",$B2&lt;&gt;"",COUNTIF(Slots!$A$2:$A$501,$B2)=0)</x:formula>
    </x:cfRule>
  </x:conditionalFormatting>
  <x:conditionalFormatting sqref="F2:F63">
    <x:cfRule type="expression" dxfId="2" priority="3">
      <x:formula>AND($A2&lt;&gt;"",$F2="true",COUNTIFS($B$2:$B$501,$B2,$E$2:$E$501,$E2,$F$2:$F$501,"true")&gt;1)</x:formula>
    </x:cfRule>
  </x:conditionalFormatting>
  <x:conditionalFormatting sqref="E2:E63">
    <x:cfRule type="expression" dxfId="3" priority="4">
      <x:formula>AND($A2&lt;&gt;"",$F2="true",$E2&lt;&gt;"",COUNTIFS($B$2:$B$501,$B2,$E$2:$E$501,$E2,$F$2:$F$501,"true")&gt;1)</x:formula>
    </x:cfRule>
  </x:conditionalFormatting>
  <x:dataValidations count="4">
    <x:dataValidation type="list" sqref="F2:F501">
      <x:formula1>"true,false"</x:formula1>
    </x:dataValidation>
    <x:dataValidation type="list" sqref="D2:D501">
      <x:formula1>"detail,tool,inline,collection,timeline"</x:formula1>
    </x:dataValidation>
    <x:dataValidation type="list" sqref="B2:B501">
      <x:formula1>'Slots'!$A$2:$A$501</x:formula1>
    </x:dataValidation>
    <x:dataValidation type="list" sqref="C2:C501">
      <x:formula1>INDIRECT(IF(D2="timeline","Timelines!$A$2:$A$501","Content!$A$2:$A$501"))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05d92a80e6421e"/>
  </x:tableParts>
</x:worksheet>
</file>

<file path=xl/worksheets/sheet2.xml><?xml version="1.0" encoding="utf-8"?>
<x:worksheet xmlns:x="http://schemas.openxmlformats.org/spreadsheetml/2006/main">
  <x:sheetPr>
    <x:tabColor rgb="FFAA895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4" hidden="0" customWidth="1"/>
    <x:col min="2" max="2" width="38" hidden="0" customWidth="1"/>
    <x:col min="3" max="3" width="76" hidden="0" customWidth="1"/>
    <x:col min="4" max="4" width="28" hidden="0" customWidth="1"/>
    <x:col min="5" max="5" width="48" hidden="0" customWidth="1"/>
    <x:col min="6" max="6" width="56" hidden="0" customWidth="1"/>
    <x:col min="7" max="7" width="66" hidden="0" customWidth="1"/>
  </x:cols>
  <x:sheetData>
    <x:row r="1" ht="42" customHeight="1">
      <x:c r="A1" s="10" t="str">
        <x:v>content_id</x:v>
      </x:c>
      <x:c r="B1" s="10" t="str">
        <x:v>title</x:v>
      </x:c>
      <x:c r="C1" s="10" t="str">
        <x:v>description</x:v>
      </x:c>
      <x:c r="D1" s="10" t="str">
        <x:v>content_type</x:v>
      </x:c>
      <x:c r="E1" s="10" t="str">
        <x:v>adapter</x:v>
      </x:c>
      <x:c r="F1" s="10" t="str">
        <x:v>image</x:v>
      </x:c>
      <x:c r="G1" s="10" t="str">
        <x:v>citation</x:v>
      </x:c>
    </x:row>
    <x:row r="2" ht="60" customHeight="1">
      <x:c r="A2" s="12" t="str">
        <x:v>gallery_intro</x:v>
      </x:c>
      <x:c r="B2" s="12" t="str">
        <x:v>Gallery Intro</x:v>
      </x:c>
      <x:c r="C2" s="12" t="str">
        <x:v>Featured research: Barberini Ivory, Roman Wall Sconce, and Susanna and the Elders. The illustrated reliefs and fan remain fixed scenery until their identities are confirmed.</x:v>
      </x:c>
      <x:c r="D2" s="12" t="str">
        <x:v>detail</x:v>
      </x:c>
      <x:c r="E2" s="16" t="str"/>
      <x:c r="F2" s="12" t="str"/>
      <x:c r="G2" s="12" t="str"/>
    </x:row>
    <x:row r="3" ht="60" customHeight="1">
      <x:c r="A3" s="12" t="str">
        <x:v>conservation_lab_intro</x:v>
      </x:c>
      <x:c r="B3" s="12" t="str">
        <x:v>Conservation Lab Intro</x:v>
      </x:c>
      <x:c r="C3" s="12" t="str">
        <x:v>Ivory as a medium: workmanship, materials, artistic traditions, and conservation evidence. Compare the collection on the central table with histories across centuries.</x:v>
      </x:c>
      <x:c r="D3" s="12" t="str">
        <x:v>detail</x:v>
      </x:c>
      <x:c r="E3" s="16" t="str"/>
      <x:c r="F3" s="12" t="str"/>
      <x:c r="G3" s="12" t="str"/>
    </x:row>
    <x:row r="4" ht="44" customHeight="1">
      <x:c r="A4" s="12" t="str">
        <x:v>historical_society_intro</x:v>
      </x:c>
      <x:c r="B4" s="12" t="str">
        <x:v>Historical Society Intro</x:v>
      </x:c>
      <x:c r="C4" s="12" t="str">
        <x:v>Community memory, collecting practices, and the local lives of objects. The piano and billiards table connect materials to everyday social spaces.</x:v>
      </x:c>
      <x:c r="D4" s="12" t="str">
        <x:v>detail</x:v>
      </x:c>
      <x:c r="E4" s="16" t="str"/>
      <x:c r="F4" s="12" t="str"/>
      <x:c r="G4" s="12" t="str"/>
    </x:row>
    <x:row r="5" ht="44" customHeight="1">
      <x:c r="A5" s="12" t="str">
        <x:v>attic_intro</x:v>
      </x:c>
      <x:c r="B5" s="12" t="str">
        <x:v>Attic Intro</x:v>
      </x:c>
      <x:c r="C5" s="12" t="str">
        <x:v>Inheritance, rediscovery, storage, and documentary gaps. An object found in a trunk does not establish who made, owned, or transferred it.</x:v>
      </x:c>
      <x:c r="D5" s="12" t="str">
        <x:v>detail</x:v>
      </x:c>
      <x:c r="E5" s="16" t="str"/>
      <x:c r="F5" s="12" t="str"/>
      <x:c r="G5" s="12" t="str"/>
    </x:row>
    <x:row r="6" ht="44" customHeight="1">
      <x:c r="A6" s="12" t="str">
        <x:v>natural_history_intro</x:v>
      </x:c>
      <x:c r="B6" s="12" t="str">
        <x:v>Natural History Intro</x:v>
      </x:c>
      <x:c r="C6" s="12" t="str">
        <x:v>Elephants, ivory as material, and environmental history. Explore deep time, maps, specimen interpretation, and a separate evidence-ordering activity.</x:v>
      </x:c>
      <x:c r="D6" s="12" t="str">
        <x:v>detail</x:v>
      </x:c>
      <x:c r="E6" s="16" t="str"/>
      <x:c r="F6" s="12" t="str"/>
      <x:c r="G6" s="12" t="str"/>
    </x:row>
    <x:row r="7" ht="44" customHeight="1">
      <x:c r="A7" s="12" t="str">
        <x:v>conservators_office_intro</x:v>
      </x:c>
      <x:c r="B7" s="12" t="str">
        <x:v>Conservators Office Intro</x:v>
      </x:c>
      <x:c r="C7" s="12" t="str">
        <x:v>Care, repair, research and preservation. Exhibition assembly at the terminal remains a future feature.</x:v>
      </x:c>
      <x:c r="D7" s="12" t="str">
        <x:v>detail</x:v>
      </x:c>
      <x:c r="E7" s="16" t="str"/>
      <x:c r="F7" s="12" t="str"/>
      <x:c r="G7" s="12" t="str"/>
    </x:row>
    <x:row r="8" ht="60" customHeight="1">
      <x:c r="A8" s="12" t="str">
        <x:v>lab_intro</x:v>
      </x:c>
      <x:c r="B8" s="12" t="str">
        <x:v>Lab Intro</x:v>
      </x:c>
      <x:c r="C8" s="12" t="str">
        <x:v>Technical analysis and material investigation. Lab is distinct from Conservation Lab; its attic context describes the investigation of rediscovered objects.</x:v>
      </x:c>
      <x:c r="D8" s="12" t="str">
        <x:v>detail</x:v>
      </x:c>
      <x:c r="E8" s="16" t="str"/>
      <x:c r="F8" s="12" t="str"/>
      <x:c r="G8" s="12" t="str"/>
    </x:row>
    <x:row r="9" ht="34" customHeight="1">
      <x:c r="A9" s="12" t="str">
        <x:v>welcome-sequence</x:v>
      </x:c>
      <x:c r="B9" s="12" t="str">
        <x:v>Welcome to ArchIvory</x:v>
      </x:c>
      <x:c r="C9" s="12" t="str">
        <x:v>Welcome and check-in.</x:v>
      </x:c>
      <x:c r="D9" s="12" t="str">
        <x:v>tool</x:v>
      </x:c>
      <x:c r="E9" s="16" t="str">
        <x:v>trigger:.welcome-mantle</x:v>
      </x:c>
      <x:c r="F9" s="12" t="str"/>
      <x:c r="G9" s="12" t="str"/>
    </x:row>
    <x:row r="10" ht="60" customHeight="1">
      <x:c r="A10" s="12" t="str">
        <x:v>gallery-fixed-wall_01</x:v>
      </x:c>
      <x:c r="B10" s="12" t="str">
        <x:v>Illustrated relief — identity unverified</x:v>
      </x:c>
      <x:c r="C10" s="12" t="str">
        <x:v>This carving is part of the room illustration. Its identity has not been verified against a collection record. The research below is comparative, not a provenance claim.</x:v>
      </x:c>
      <x:c r="D10" s="12" t="str">
        <x:v>detail</x:v>
      </x:c>
      <x:c r="E10" s="16" t="str"/>
      <x:c r="F10" s="12" t="str"/>
      <x:c r="G10" s="12" t="str"/>
    </x:row>
    <x:row r="11" ht="60" customHeight="1">
      <x:c r="A11" s="12" t="str">
        <x:v>gallery-fixed-wall_02</x:v>
      </x:c>
      <x:c r="B11" s="12" t="str">
        <x:v>Illustrated relief — identity unverified</x:v>
      </x:c>
      <x:c r="C11" s="12" t="str">
        <x:v>This carving is part of the room illustration. Its identity has not been verified against a collection record. The research below is comparative, not a provenance claim.</x:v>
      </x:c>
      <x:c r="D11" s="12" t="str">
        <x:v>detail</x:v>
      </x:c>
      <x:c r="E11" s="16" t="str"/>
      <x:c r="F11" s="12" t="str"/>
      <x:c r="G11" s="12" t="str"/>
    </x:row>
    <x:row r="12" ht="44" customHeight="1">
      <x:c r="A12" s="12" t="str">
        <x:v>gallery-fixed-fan</x:v>
      </x:c>
      <x:c r="B12" s="12" t="str">
        <x:v>Illustrated folding fan</x:v>
      </x:c>
      <x:c r="C12" s="12" t="str">
        <x:v>The fan is a fixed part of the room artwork. Its identity has not been verified; it is not assigned the New Harmony fan record.</x:v>
      </x:c>
      <x:c r="D12" s="12" t="str">
        <x:v>detail</x:v>
      </x:c>
      <x:c r="E12" s="16" t="str"/>
      <x:c r="F12" s="12" t="str"/>
      <x:c r="G12" s="12" t="str"/>
    </x:row>
    <x:row r="13" ht="34" customHeight="1">
      <x:c r="A13" s="12" t="str">
        <x:v>gallery-roman-wall-sconce</x:v>
      </x:c>
      <x:c r="B13" s="12" t="str">
        <x:v>Roman Wall Sconce</x:v>
      </x:c>
      <x:c r="C13" s="12" t="str">
        <x:v>Existing evidence case at the Eskenazi Museum of Art.</x:v>
      </x:c>
      <x:c r="D13" s="12" t="str">
        <x:v>detail</x:v>
      </x:c>
      <x:c r="E13" s="16" t="str">
        <x:v>art-sconce-sequence</x:v>
      </x:c>
      <x:c r="F13" s="12" t="str">
        <x:v>/assets/img/RomanWallSconce - 03-06-2026 14-41-38.jpeg</x:v>
      </x:c>
      <x:c r="G13" s="12" t="str">
        <x:v>Existing Gallery research and evidence photographs.</x:v>
      </x:c>
    </x:row>
    <x:row r="14" ht="34" customHeight="1">
      <x:c r="A14" s="12" t="str">
        <x:v>art-relief-sequence</x:v>
      </x:c>
      <x:c r="B14" s="12" t="str">
        <x:v>Barberini Ivory</x:v>
      </x:c>
      <x:c r="C14" s="12" t="str">
        <x:v>Existing Gallery research: sixth-century relief.</x:v>
      </x:c>
      <x:c r="D14" s="12" t="str">
        <x:v>detail</x:v>
      </x:c>
      <x:c r="E14" s="16" t="str">
        <x:v>art-relief-sequence</x:v>
      </x:c>
      <x:c r="F14" s="12" t="str"/>
      <x:c r="G14" s="12" t="str"/>
    </x:row>
    <x:row r="15" ht="34" customHeight="1">
      <x:c r="A15" s="12" t="str">
        <x:v>art-susanna-sequence</x:v>
      </x:c>
      <x:c r="B15" s="12" t="str">
        <x:v>Susanna and the Elders</x:v>
      </x:c>
      <x:c r="C15" s="12" t="str">
        <x:v>Existing Gallery research on the carving by Van Bossuit.</x:v>
      </x:c>
      <x:c r="D15" s="12" t="str">
        <x:v>detail</x:v>
      </x:c>
      <x:c r="E15" s="16" t="str">
        <x:v>art-susanna-sequence</x:v>
      </x:c>
      <x:c r="F15" s="12" t="str"/>
      <x:c r="G15" s="12" t="str"/>
    </x:row>
    <x:row r="16" ht="44" customHeight="1">
      <x:c r="A16" s="12" t="str">
        <x:v>ChineseUVIvoryCollection</x:v>
      </x:c>
      <x:c r="B16" s="12" t="str">
        <x:v>IU Eskenazi Museum Ivories</x:v>
      </x:c>
      <x:c r="C16" s="12" t="str">
        <x:v>Existing conservation-table research.</x:v>
      </x:c>
      <x:c r="D16" s="12" t="str">
        <x:v>detail</x:v>
      </x:c>
      <x:c r="E16" s="16" t="str">
        <x:v>art-table-sequence</x:v>
      </x:c>
      <x:c r="F16" s="12" t="str"/>
      <x:c r="G16" s="12" t="str">
        <x:v>_data/demo-metadata.csv; original objectid preserved, including capitalization.</x:v>
      </x:c>
    </x:row>
    <x:row r="17" ht="60" customHeight="1">
      <x:c r="A17" s="12" t="str">
        <x:v>conservation-methods</x:v>
      </x:c>
      <x:c r="B17" s="12" t="str">
        <x:v>Analysis workbench</x:v>
      </x:c>
      <x:c r="C17" s="12" t="str">
        <x:v>The existing collection record reports DNA evidence from African and Asian elephants. Open the central ivories collection for the supplied research. No additional analysis media have been supplied.</x:v>
      </x:c>
      <x:c r="D17" s="12" t="str">
        <x:v>tool</x:v>
      </x:c>
      <x:c r="E17" s="16" t="str"/>
      <x:c r="F17" s="12" t="str"/>
      <x:c r="G17" s="12" t="str"/>
    </x:row>
    <x:row r="18" ht="60" customHeight="1">
      <x:c r="A18" s="12" t="str">
        <x:v>historical_society_piano_01</x:v>
      </x:c>
      <x:c r="B18" s="12" t="str">
        <x:v>Piano</x:v>
      </x:c>
      <x:c r="C18" s="12" t="str">
        <x:v>An illustrated piano anchors this room. Keyboard coverings can prompt questions about materials and manufacture, but the artwork does not establish the material, maker or provenance of this piano.</x:v>
      </x:c>
      <x:c r="D18" s="12" t="str">
        <x:v>detail</x:v>
      </x:c>
      <x:c r="E18" s="16" t="str"/>
      <x:c r="F18" s="12" t="str"/>
      <x:c r="G18" s="12" t="str"/>
    </x:row>
    <x:row r="19" ht="60" customHeight="1">
      <x:c r="A19" s="12" t="str">
        <x:v>historical_society_table_01</x:v>
      </x:c>
      <x:c r="B19" s="12" t="str">
        <x:v>Billiards table</x:v>
      </x:c>
      <x:c r="C19" s="12" t="str">
        <x:v>The billiards table connects leisure with the history of materials. No object record or material identification has been assigned to this illustrated furnishing.</x:v>
      </x:c>
      <x:c r="D19" s="12" t="str">
        <x:v>detail</x:v>
      </x:c>
      <x:c r="E19" s="16" t="str"/>
      <x:c r="F19" s="12" t="str"/>
      <x:c r="G19" s="12" t="str"/>
    </x:row>
    <x:row r="20" ht="76" customHeight="1">
      <x:c r="A20" s="12" t="str">
        <x:v>natural-history-specimen</x:v>
      </x:c>
      <x:c r="B20" s="12" t="str">
        <x:v>Elephant tusk</x:v>
      </x:c>
      <x:c r="C20" s="12" t="str">
        <x:v>The room illustration presents a tusk as a specimen. A specimen accession, individual animal, collecting locality and provenance have not been supplied. Use the inquiry terminal for evidence-based questions; do not infer an individual history from the scenery.</x:v>
      </x:c>
      <x:c r="D20" s="12" t="str">
        <x:v>detail</x:v>
      </x:c>
      <x:c r="E20" s="16" t="str"/>
      <x:c r="F20" s="12" t="str"/>
      <x:c r="G20" s="12" t="str"/>
    </x:row>
    <x:row r="21" ht="34" customHeight="1">
      <x:c r="A21" s="12" t="str">
        <x:v>natural-history-map</x:v>
      </x:c>
      <x:c r="B21" s="12" t="str">
        <x:v>World map</x:v>
      </x:c>
      <x:c r="C21" s="12" t="str">
        <x:v>Existing collection geography map.</x:v>
      </x:c>
      <x:c r="D21" s="12" t="str">
        <x:v>tool</x:v>
      </x:c>
      <x:c r="E21" s="16" t="str">
        <x:v>route:/map.html</x:v>
      </x:c>
      <x:c r="F21" s="12" t="str"/>
      <x:c r="G21" s="12" t="str"/>
    </x:row>
    <x:row r="22" ht="34" customHeight="1">
      <x:c r="A22" s="12" t="str">
        <x:v>proboscidean-timeline</x:v>
      </x:c>
      <x:c r="B22" s="12" t="str">
        <x:v>Deep-time explorer</x:v>
      </x:c>
      <x:c r="C22" s="12" t="str">
        <x:v>Existing proboscidean explorer, habitation map and inquiry connections.</x:v>
      </x:c>
      <x:c r="D22" s="12" t="str">
        <x:v>tool</x:v>
      </x:c>
      <x:c r="E22" s="16" t="str">
        <x:v>trigger:[data-open-room-timeline]</x:v>
      </x:c>
      <x:c r="F22" s="12" t="str"/>
      <x:c r="G22" s="12" t="str"/>
    </x:row>
    <x:row r="23" ht="34" customHeight="1">
      <x:c r="A23" s="12" t="str">
        <x:v>habitation-map</x:v>
      </x:c>
      <x:c r="B23" s="12" t="str">
        <x:v>Habitation map</x:v>
      </x:c>
      <x:c r="C23" s="12" t="str">
        <x:v>Nested component of the deep-time explorer, not a second wall location.</x:v>
      </x:c>
      <x:c r="D23" s="12" t="str">
        <x:v>tool</x:v>
      </x:c>
      <x:c r="E23" s="16" t="str">
        <x:v>trigger:[data-apt-map-action]</x:v>
      </x:c>
      <x:c r="F23" s="12" t="str"/>
      <x:c r="G23" s="12" t="str"/>
    </x:row>
    <x:row r="24" ht="34" customHeight="1">
      <x:c r="A24" s="12" t="str">
        <x:v>natural-history-tusk</x:v>
      </x:c>
      <x:c r="B24" s="12" t="str">
        <x:v>Ivory Inquiry Terminal</x:v>
      </x:c>
      <x:c r="C24" s="12" t="str">
        <x:v>Existing inquiry tool.</x:v>
      </x:c>
      <x:c r="D24" s="12" t="str">
        <x:v>tool</x:v>
      </x:c>
      <x:c r="E24" s="16" t="str">
        <x:v>trigger:[data-hotspot="inquiry-tusk"]</x:v>
      </x:c>
      <x:c r="F24" s="12" t="str"/>
      <x:c r="G24" s="12" t="str"/>
    </x:row>
    <x:row r="25" ht="34" customHeight="1">
      <x:c r="A25" s="12" t="str">
        <x:v>conservator-terminal</x:v>
      </x:c>
      <x:c r="B25" s="12" t="str">
        <x:v>Curation terminal</x:v>
      </x:c>
      <x:c r="C25" s="12" t="str">
        <x:v>Exhibition assembly remains a planned feature.</x:v>
      </x:c>
      <x:c r="D25" s="12" t="str">
        <x:v>tool</x:v>
      </x:c>
      <x:c r="E25" s="16" t="str">
        <x:v>conservator-terminal-sequence</x:v>
      </x:c>
      <x:c r="F25" s="12" t="str"/>
      <x:c r="G25" s="12" t="str"/>
    </x:row>
    <x:row r="26" ht="34" customHeight="1">
      <x:c r="A26" s="12" t="str">
        <x:v>lab-attic-sequence</x:v>
      </x:c>
      <x:c r="B26" s="12" t="str">
        <x:v>Attic investigations</x:v>
      </x:c>
      <x:c r="C26" s="12" t="str">
        <x:v>Existing context and navigation.</x:v>
      </x:c>
      <x:c r="D26" s="12" t="str">
        <x:v>tool</x:v>
      </x:c>
      <x:c r="E26" s="16" t="str">
        <x:v>lab-attic-sequence</x:v>
      </x:c>
      <x:c r="F26" s="12" t="str"/>
      <x:c r="G26" s="12" t="str"/>
    </x:row>
    <x:row r="27" ht="34" customHeight="1">
      <x:c r="A27" s="12" t="str">
        <x:v>geib-flute</x:v>
      </x:c>
      <x:c r="B27" s="12" t="str">
        <x:v>Geib Flute</x:v>
      </x:c>
      <x:c r="C27" s="12" t="str">
        <x:v>test</x:v>
      </x:c>
      <x:c r="D27" s="12" t="str">
        <x:v>detail</x:v>
      </x:c>
      <x:c r="E27" s="16" t="str"/>
      <x:c r="F27" s="12" t="str">
        <x:v>/assets/img/editorial/geib-flute-3ec90b3a3ce8.jpeg</x:v>
      </x:c>
      <x:c r="G27" s="12" t="str"/>
    </x:row>
    <x:row r="28" ht="32" customHeight="1">
      <x:c r="A28" s="12"/>
      <x:c r="B28" s="12"/>
      <x:c r="C28" s="12"/>
      <x:c r="D28" s="12"/>
      <x:c r="E28" s="16"/>
      <x:c r="F28" s="12"/>
      <x:c r="G28" s="12"/>
    </x:row>
    <x:row r="29" ht="32" customHeight="1">
      <x:c r="A29" s="12"/>
      <x:c r="B29" s="12"/>
      <x:c r="C29" s="12"/>
      <x:c r="D29" s="12"/>
      <x:c r="E29" s="16"/>
      <x:c r="F29" s="12"/>
      <x:c r="G29" s="12"/>
    </x:row>
    <x:row r="30" ht="32" customHeight="1">
      <x:c r="A30" s="12"/>
      <x:c r="B30" s="12"/>
      <x:c r="C30" s="12"/>
      <x:c r="D30" s="12"/>
      <x:c r="E30" s="16"/>
      <x:c r="F30" s="12"/>
      <x:c r="G30" s="12"/>
    </x:row>
    <x:row r="31" ht="32" customHeight="1">
      <x:c r="A31" s="12"/>
      <x:c r="B31" s="12"/>
      <x:c r="C31" s="12"/>
      <x:c r="D31" s="12"/>
      <x:c r="E31" s="16"/>
      <x:c r="F31" s="12"/>
      <x:c r="G31" s="12"/>
    </x:row>
    <x:row r="32" ht="32" customHeight="1">
      <x:c r="A32" s="12"/>
      <x:c r="B32" s="12"/>
      <x:c r="C32" s="12"/>
      <x:c r="D32" s="12"/>
      <x:c r="E32" s="16"/>
      <x:c r="F32" s="12"/>
      <x:c r="G32" s="12"/>
    </x:row>
    <x:row r="33" ht="32" customHeight="1">
      <x:c r="A33" s="12"/>
      <x:c r="B33" s="12"/>
      <x:c r="C33" s="12"/>
      <x:c r="D33" s="12"/>
      <x:c r="E33" s="16"/>
      <x:c r="F33" s="12"/>
      <x:c r="G33" s="12"/>
    </x:row>
    <x:row r="34" ht="32" customHeight="1">
      <x:c r="A34" s="12"/>
      <x:c r="B34" s="12"/>
      <x:c r="C34" s="12"/>
      <x:c r="D34" s="12"/>
      <x:c r="E34" s="16"/>
      <x:c r="F34" s="12"/>
      <x:c r="G34" s="12"/>
    </x:row>
    <x:row r="35" ht="32" customHeight="1">
      <x:c r="A35" s="12"/>
      <x:c r="B35" s="12"/>
      <x:c r="C35" s="12"/>
      <x:c r="D35" s="12"/>
      <x:c r="E35" s="16"/>
      <x:c r="F35" s="12"/>
      <x:c r="G35" s="12"/>
    </x:row>
    <x:row r="36" ht="32" customHeight="1">
      <x:c r="A36" s="12"/>
      <x:c r="B36" s="12"/>
      <x:c r="C36" s="12"/>
      <x:c r="D36" s="12"/>
      <x:c r="E36" s="16"/>
      <x:c r="F36" s="12"/>
      <x:c r="G36" s="12"/>
    </x:row>
    <x:row r="37" ht="32" customHeight="1">
      <x:c r="A37" s="12"/>
      <x:c r="B37" s="12"/>
      <x:c r="C37" s="12"/>
      <x:c r="D37" s="12"/>
      <x:c r="E37" s="16"/>
      <x:c r="F37" s="12"/>
      <x:c r="G37" s="12"/>
    </x:row>
    <x:row r="38" ht="32" customHeight="1">
      <x:c r="A38" s="12"/>
      <x:c r="B38" s="12"/>
      <x:c r="C38" s="12"/>
      <x:c r="D38" s="12"/>
      <x:c r="E38" s="16"/>
      <x:c r="F38" s="12"/>
      <x:c r="G38" s="12"/>
    </x:row>
    <x:row r="39" ht="32" customHeight="1">
      <x:c r="A39" s="12"/>
      <x:c r="B39" s="12"/>
      <x:c r="C39" s="12"/>
      <x:c r="D39" s="12"/>
      <x:c r="E39" s="16"/>
      <x:c r="F39" s="12"/>
      <x:c r="G39" s="12"/>
    </x:row>
    <x:row r="40" ht="32" customHeight="1">
      <x:c r="A40" s="12"/>
      <x:c r="B40" s="12"/>
      <x:c r="C40" s="12"/>
      <x:c r="D40" s="12"/>
      <x:c r="E40" s="16"/>
      <x:c r="F40" s="12"/>
      <x:c r="G40" s="12"/>
    </x:row>
    <x:row r="41" ht="32" customHeight="1">
      <x:c r="A41" s="12"/>
      <x:c r="B41" s="12"/>
      <x:c r="C41" s="12"/>
      <x:c r="D41" s="12"/>
      <x:c r="E41" s="16"/>
      <x:c r="F41" s="12"/>
      <x:c r="G41" s="12"/>
    </x:row>
    <x:row r="42" ht="32" customHeight="1">
      <x:c r="A42" s="12"/>
      <x:c r="B42" s="12"/>
      <x:c r="C42" s="12"/>
      <x:c r="D42" s="12"/>
      <x:c r="E42" s="16"/>
      <x:c r="F42" s="12"/>
      <x:c r="G42" s="12"/>
    </x:row>
  </x:sheetData>
  <x:dataValidations count="1">
    <x:dataValidation type="list" sqref="D2:D501">
      <x:formula1>"detail,tool,inline,collection"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be95dcee1540c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38" hidden="0" customWidth="1"/>
    <x:col min="5" max="5" width="38" hidden="0" customWidth="1"/>
    <x:col min="6" max="6" width="76" hidden="0" customWidth="1"/>
    <x:col min="7" max="7" width="56" hidden="0" customWidth="1"/>
    <x:col min="8" max="8" width="66" hidden="0" customWidth="1"/>
    <x:col min="9" max="9" width="76" hidden="0" customWidth="1"/>
  </x:cols>
  <x:sheetData>
    <x:row r="1" ht="42" customHeight="1">
      <x:c r="A1" s="10" t="str">
        <x:v>timeline_id</x:v>
      </x:c>
      <x:c r="B1" s="10" t="str">
        <x:v>id</x:v>
      </x:c>
      <x:c r="C1" s="11" t="str">
        <x:v>sortKey</x:v>
      </x:c>
      <x:c r="D1" s="10" t="str">
        <x:v>displayedDate</x:v>
      </x:c>
      <x:c r="E1" s="10" t="str">
        <x:v>title</x:v>
      </x:c>
      <x:c r="F1" s="10" t="str">
        <x:v>description</x:v>
      </x:c>
      <x:c r="G1" s="10" t="str">
        <x:v>image</x:v>
      </x:c>
      <x:c r="H1" s="10" t="str">
        <x:v>citation</x:v>
      </x:c>
      <x:c r="I1" s="10" t="str">
        <x:v>extendedExplanation</x:v>
      </x:c>
    </x:row>
    <x:row r="2" ht="44" customHeight="1">
      <x:c r="A2" s="12" t="str">
        <x:v>local_lives</x:v>
      </x:c>
      <x:c r="B2" s="12" t="str">
        <x:v>local-inventory</x:v>
      </x:c>
      <x:c r="C2" s="13" t="n">
        <x:v>1880</x:v>
      </x:c>
      <x:c r="D2" s="12" t="str">
        <x:v>1880 (fictional)</x:v>
      </x:c>
      <x:c r="E2" s="12" t="str">
        <x:v>Household inventory</x:v>
      </x:c>
      <x:c r="F2" s="12" t="str">
        <x:v>An inventory lists an unnamed carved object.</x:v>
      </x:c>
      <x:c r="G2" s="12" t="str"/>
      <x:c r="H2" s="12" t="str">
        <x:v>Fictional teaching example; no historical provenance or external citation claimed.</x:v>
      </x:c>
      <x:c r="I2" s="12" t="str">
        <x:v>An inventory lists an unnamed carved object.</x:v>
      </x:c>
    </x:row>
    <x:row r="3" ht="44" customHeight="1">
      <x:c r="A3" s="12" t="str">
        <x:v>local_lives</x:v>
      </x:c>
      <x:c r="B3" s="12" t="str">
        <x:v>local-letter</x:v>
      </x:c>
      <x:c r="C3" s="13" t="n">
        <x:v>1905</x:v>
      </x:c>
      <x:c r="D3" s="12" t="str">
        <x:v>1905 (fictional)</x:v>
      </x:c>
      <x:c r="E3" s="12" t="str">
        <x:v>Letter about a proposed gift</x:v>
      </x:c>
      <x:c r="F3" s="12" t="str">
        <x:v>A letter proposes a gift; intention is not a completed transfer.</x:v>
      </x:c>
      <x:c r="G3" s="12" t="str"/>
      <x:c r="H3" s="12" t="str">
        <x:v>Fictional teaching example; no historical provenance or external citation claimed.</x:v>
      </x:c>
      <x:c r="I3" s="12" t="str">
        <x:v>A letter proposes a gift; intention is not a completed transfer.</x:v>
      </x:c>
    </x:row>
    <x:row r="4" ht="44" customHeight="1">
      <x:c r="A4" s="12" t="str">
        <x:v>local_lives</x:v>
      </x:c>
      <x:c r="B4" s="12" t="str">
        <x:v>local-accession</x:v>
      </x:c>
      <x:c r="C4" s="13" t="n">
        <x:v>1910</x:v>
      </x:c>
      <x:c r="D4" s="12" t="str">
        <x:v>1910 (fictional)</x:v>
      </x:c>
      <x:c r="E4" s="12" t="str">
        <x:v>Institutional accession</x:v>
      </x:c>
      <x:c r="F4" s="12" t="str">
        <x:v>An accession entry records receipt by a local institution.</x:v>
      </x:c>
      <x:c r="G4" s="12" t="str"/>
      <x:c r="H4" s="12" t="str">
        <x:v>Fictional teaching example; no historical provenance or external citation claimed.</x:v>
      </x:c>
      <x:c r="I4" s="12" t="str">
        <x:v>An accession entry records receipt by a local institution.</x:v>
      </x:c>
    </x:row>
    <x:row r="5" ht="44" customHeight="1">
      <x:c r="A5" s="12" t="str">
        <x:v>local_lives</x:v>
      </x:c>
      <x:c r="B5" s="12" t="str">
        <x:v>local-relabel</x:v>
      </x:c>
      <x:c r="C5" s="13" t="n">
        <x:v>1935</x:v>
      </x:c>
      <x:c r="D5" s="12" t="str">
        <x:v>1935 (fictional)</x:v>
      </x:c>
      <x:c r="E5" s="12" t="str">
        <x:v>Exhibit relabeling</x:v>
      </x:c>
      <x:c r="F5" s="12" t="str">
        <x:v>A new label changes the interpretation of the object.</x:v>
      </x:c>
      <x:c r="G5" s="12" t="str"/>
      <x:c r="H5" s="12" t="str">
        <x:v>Fictional teaching example; no historical provenance or external citation claimed.</x:v>
      </x:c>
      <x:c r="I5" s="12" t="str">
        <x:v>A new label changes the interpretation of the object.</x:v>
      </x:c>
    </x:row>
    <x:row r="6" ht="44" customHeight="1">
      <x:c r="A6" s="12" t="str">
        <x:v>ivory_ages</x:v>
      </x:c>
      <x:c r="B6" s="12" t="str">
        <x:v>sample-a</x:v>
      </x:c>
      <x:c r="C6" s="13" t="n">
        <x:v>-2000</x:v>
      </x:c>
      <x:c r="D6" s="12" t="str">
        <x:v>2000 BCE (fictional sample)</x:v>
      </x:c>
      <x:c r="E6" s="12" t="str">
        <x:v>Early carved sample</x:v>
      </x:c>
      <x:c r="F6" s="12" t="str">
        <x:v>A teaching sample introduces carving as a material practice.</x:v>
      </x:c>
      <x:c r="G6" s="12" t="str"/>
      <x:c r="H6" s="12" t="str">
        <x:v>Fictional teaching example; no historical provenance or external citation claimed.</x:v>
      </x:c>
      <x:c r="I6" s="12" t="str">
        <x:v>A teaching sample introduces carving as a material practice.</x:v>
      </x:c>
    </x:row>
    <x:row r="7" ht="44" customHeight="1">
      <x:c r="A7" s="12" t="str">
        <x:v>ivory_ages</x:v>
      </x:c>
      <x:c r="B7" s="12" t="str">
        <x:v>sample-b</x:v>
      </x:c>
      <x:c r="C7" s="13" t="n">
        <x:v>500</x:v>
      </x:c>
      <x:c r="D7" s="12" t="str">
        <x:v>500 CE (fictional sample)</x:v>
      </x:c>
      <x:c r="E7" s="12" t="str">
        <x:v>Relief workshop sample</x:v>
      </x:c>
      <x:c r="F7" s="12" t="str">
        <x:v>A later teaching sample explores relief technique.</x:v>
      </x:c>
      <x:c r="G7" s="12" t="str"/>
      <x:c r="H7" s="12" t="str">
        <x:v>Fictional teaching example; no historical provenance or external citation claimed.</x:v>
      </x:c>
      <x:c r="I7" s="12" t="str">
        <x:v>A later teaching sample explores relief technique.</x:v>
      </x:c>
    </x:row>
    <x:row r="8" ht="44" customHeight="1">
      <x:c r="A8" s="12" t="str">
        <x:v>ivory_ages</x:v>
      </x:c>
      <x:c r="B8" s="12" t="str">
        <x:v>sample-c</x:v>
      </x:c>
      <x:c r="C8" s="13" t="n">
        <x:v>1200</x:v>
      </x:c>
      <x:c r="D8" s="12" t="str">
        <x:v>1200 CE (fictional sample)</x:v>
      </x:c>
      <x:c r="E8" s="12" t="str">
        <x:v>Joined-panel sample</x:v>
      </x:c>
      <x:c r="F8" s="12" t="str">
        <x:v>A teaching sample asks how construction and display relate.</x:v>
      </x:c>
      <x:c r="G8" s="12" t="str"/>
      <x:c r="H8" s="12" t="str">
        <x:v>Fictional teaching example; no historical provenance or external citation claimed.</x:v>
      </x:c>
      <x:c r="I8" s="12" t="str">
        <x:v>A teaching sample asks how construction and display relate.</x:v>
      </x:c>
    </x:row>
    <x:row r="9" ht="44" customHeight="1">
      <x:c r="A9" s="12" t="str">
        <x:v>ivory_ages</x:v>
      </x:c>
      <x:c r="B9" s="12" t="str">
        <x:v>sample-d</x:v>
      </x:c>
      <x:c r="C9" s="13" t="n">
        <x:v>1800</x:v>
      </x:c>
      <x:c r="D9" s="12" t="str">
        <x:v>1800 CE (fictional sample)</x:v>
      </x:c>
      <x:c r="E9" s="12" t="str">
        <x:v>Turned-object sample</x:v>
      </x:c>
      <x:c r="F9" s="12" t="str">
        <x:v>A teaching sample introduces another way to work the material.</x:v>
      </x:c>
      <x:c r="G9" s="12" t="str"/>
      <x:c r="H9" s="12" t="str">
        <x:v>Fictional teaching example; no historical provenance or external citation claimed.</x:v>
      </x:c>
      <x:c r="I9" s="12" t="str">
        <x:v>A teaching sample introduces another way to work the material.</x:v>
      </x:c>
    </x:row>
    <x:row r="10" ht="44" customHeight="1">
      <x:c r="A10" s="12" t="str">
        <x:v>family_traces</x:v>
      </x:c>
      <x:c r="B10" s="12" t="str">
        <x:v>family-inventory</x:v>
      </x:c>
      <x:c r="C10" s="13" t="n">
        <x:v>1900</x:v>
      </x:c>
      <x:c r="D10" s="12" t="str">
        <x:v>1900 (fictional)</x:v>
      </x:c>
      <x:c r="E10" s="12" t="str">
        <x:v>Old inventory</x:v>
      </x:c>
      <x:c r="F10" s="12" t="str">
        <x:v>A household inventory survives.</x:v>
      </x:c>
      <x:c r="G10" s="12" t="str"/>
      <x:c r="H10" s="12" t="str">
        <x:v>Fictional teaching example; no historical provenance or external citation claimed.</x:v>
      </x:c>
      <x:c r="I10" s="12" t="str">
        <x:v>A household inventory survives.</x:v>
      </x:c>
    </x:row>
    <x:row r="11" ht="44" customHeight="1">
      <x:c r="A11" s="12" t="str">
        <x:v>family_traces</x:v>
      </x:c>
      <x:c r="B11" s="12" t="str">
        <x:v>family-photo</x:v>
      </x:c>
      <x:c r="C11" s="13" t="n">
        <x:v>1920</x:v>
      </x:c>
      <x:c r="D11" s="12" t="str">
        <x:v>1920s, uncertain (fictional)</x:v>
      </x:c>
      <x:c r="E11" s="12" t="str">
        <x:v>Undated photograph</x:v>
      </x:c>
      <x:c r="F11" s="12" t="str">
        <x:v>Clothing suggests the 1920s, but an exact year is unknown.</x:v>
      </x:c>
      <x:c r="G11" s="12" t="str"/>
      <x:c r="H11" s="12" t="str">
        <x:v>Fictional teaching example; no historical provenance or external citation claimed.</x:v>
      </x:c>
      <x:c r="I11" s="12" t="str">
        <x:v>Equivalent to the envelope: either order is accepted. The image does not prove ownership.</x:v>
      </x:c>
    </x:row>
    <x:row r="12" ht="44" customHeight="1">
      <x:c r="A12" s="12" t="str">
        <x:v>family_traces</x:v>
      </x:c>
      <x:c r="B12" s="12" t="str">
        <x:v>family-envelope</x:v>
      </x:c>
      <x:c r="C12" s="13" t="n">
        <x:v>1920</x:v>
      </x:c>
      <x:c r="D12" s="12" t="str">
        <x:v>1920s, uncertain (fictional)</x:v>
      </x:c>
      <x:c r="E12" s="12" t="str">
        <x:v>Loose envelope</x:v>
      </x:c>
      <x:c r="F12" s="12" t="str">
        <x:v>The envelope is assigned to the same uncertain decade.</x:v>
      </x:c>
      <x:c r="G12" s="12" t="str"/>
      <x:c r="H12" s="12" t="str">
        <x:v>Fictional teaching example; no historical provenance or external citation claimed.</x:v>
      </x:c>
      <x:c r="I12" s="12" t="str">
        <x:v>Equivalent to the photograph: there is no evidence to order them within the decade.</x:v>
      </x:c>
    </x:row>
    <x:row r="13" ht="44" customHeight="1">
      <x:c r="A13" s="12" t="str">
        <x:v>family_traces</x:v>
      </x:c>
      <x:c r="B13" s="12" t="str">
        <x:v>family-discovery</x:v>
      </x:c>
      <x:c r="C13" s="13" t="n">
        <x:v>1970</x:v>
      </x:c>
      <x:c r="D13" s="12" t="str">
        <x:v>1970 (fictional)</x:v>
      </x:c>
      <x:c r="E13" s="12" t="str">
        <x:v>Trunk rediscovered</x:v>
      </x:c>
      <x:c r="F13" s="12" t="str">
        <x:v>A later note records finding the trunk.</x:v>
      </x:c>
      <x:c r="G13" s="12" t="str"/>
      <x:c r="H13" s="12" t="str">
        <x:v>Fictional teaching example; no historical provenance or external citation claimed.</x:v>
      </x:c>
      <x:c r="I13" s="12" t="str">
        <x:v>The missing years do not establish who kept the object or how it moved.</x:v>
      </x:c>
    </x:row>
    <x:row r="14" ht="76" customHeight="1">
      <x:c r="A14" s="12" t="str">
        <x:v>deep_time_evidence</x:v>
      </x:c>
      <x:c r="B14" s="12" t="str">
        <x:v>early-proboscideans</x:v>
      </x:c>
      <x:c r="C14" s="13" t="n">
        <x:v>-60000000</x:v>
      </x:c>
      <x:c r="D14" s="12" t="str">
        <x:v>ca. 60–34 million years ago</x:v>
      </x:c>
      <x:c r="E14" s="12" t="str">
        <x:v>Early Proboscideans</x:v>
      </x:c>
      <x:c r="F14" s="12" t="str">
        <x:v>Early proboscideans emerged in Africa and began diversifying into a range of forms adapted to different environments.</x:v>
      </x:c>
      <x:c r="G14" s="12" t="str"/>
      <x:c r="H14" s="12" t="str">
        <x:v>Existing ArchIvory proboscidean explorer: assets/data/proboscidean-timeline.json, state early-proboscideans. External source citations were not supplied in that record.</x:v>
      </x:c>
      <x:c r="I14" s="12" t="str">
        <x:v>This state emphasizes origin and diversification. Visitors should distinguish the broader proboscidean order from the much later appearance of modern elephants. Broad interval ordering uses onset groups; not a precise date for every occurrence.</x:v>
      </x:c>
    </x:row>
    <x:row r="15" ht="76" customHeight="1">
      <x:c r="A15" s="12" t="str">
        <x:v>deep_time_evidence</x:v>
      </x:c>
      <x:c r="B15" s="12" t="str">
        <x:v>miocene-dispersal</x:v>
      </x:c>
      <x:c r="C15" s="13" t="n">
        <x:v>-23000000</x:v>
      </x:c>
      <x:c r="D15" s="12" t="str">
        <x:v>ca. 23–5.3 million years ago</x:v>
      </x:c>
      <x:c r="E15" s="12" t="str">
        <x:v>Miocene Dispersal</x:v>
      </x:c>
      <x:c r="F15" s="12" t="str">
        <x:v>Proboscideans expanded beyond Africa and diversified across Eurasia and other regions.</x:v>
      </x:c>
      <x:c r="G15" s="12" t="str"/>
      <x:c r="H15" s="12" t="str">
        <x:v>Existing ArchIvory proboscidean explorer: assets/data/proboscidean-timeline.json, state miocene-dispersal. External source citations were not supplied in that record.</x:v>
      </x:c>
      <x:c r="I15" s="12" t="str">
        <x:v>Movement across continents makes geography part of evolutionary history. Range maps should be treated as reconstructions based on fossil localities, not perfectly known boundaries. Broad interval ordering uses onset groups; not a precise date for every occurrence.</x:v>
      </x:c>
    </x:row>
    <x:row r="16" ht="60" customHeight="1">
      <x:c r="A16" s="12" t="str">
        <x:v>deep_time_evidence</x:v>
      </x:c>
      <x:c r="B16" s="12" t="str">
        <x:v>pleistocene-diversity</x:v>
      </x:c>
      <x:c r="C16" s="13" t="n">
        <x:v>-2600000</x:v>
      </x:c>
      <x:c r="D16" s="12" t="str">
        <x:v>ca. 2.6 million–11,700 years ago</x:v>
      </x:c>
      <x:c r="E16" s="12" t="str">
        <x:v>Pleistocene Diversity</x:v>
      </x:c>
      <x:c r="F16" s="12" t="str">
        <x:v>Mammoths, mastodons, and other proboscideans occupied wide regions alongside the ancestors and relatives of modern elephants.</x:v>
      </x:c>
      <x:c r="G16" s="12" t="str"/>
      <x:c r="H16" s="12" t="str">
        <x:v>Existing ArchIvory proboscidean explorer: assets/data/proboscidean-timeline.json, state pleistocene-diversity. External source citations were not supplied in that record.</x:v>
      </x:c>
      <x:c r="I16" s="12" t="str">
        <x:v>The late Pleistocene shows that recent proboscidean diversity was once much greater than the three living elephant species suggest. Broad interval ordering uses onset groups; not a precise date for every occurrence.</x:v>
      </x:c>
    </x:row>
    <x:row r="17" ht="76" customHeight="1">
      <x:c r="A17" s="12" t="str">
        <x:v>deep_time_evidence</x:v>
      </x:c>
      <x:c r="B17" s="12" t="str">
        <x:v>late-extinctions</x:v>
      </x:c>
      <x:c r="C17" s="13" t="n">
        <x:v>-50000</x:v>
      </x:c>
      <x:c r="D17" s="12" t="str">
        <x:v>Late Pleistocene–Holocene</x:v>
      </x:c>
      <x:c r="E17" s="12" t="str">
        <x:v>Late Proboscidean Extinctions</x:v>
      </x:c>
      <x:c r="F17" s="12" t="str">
        <x:v>Many proboscidean lineages disappeared as climate changed and human hunting pressure increased.</x:v>
      </x:c>
      <x:c r="G17" s="12" t="str"/>
      <x:c r="H17" s="12" t="str">
        <x:v>Existing ArchIvory proboscidean explorer: assets/data/proboscidean-timeline.json, state late-extinctions. External source citations were not supplied in that record.</x:v>
      </x:c>
      <x:c r="I17" s="12" t="str">
        <x:v>Extinction should not be presented as monocausal. Climate, habitat change, human pressure, and regional variation must be weighed against one another. Broad interval ordering uses onset groups; not a precise date for every occurrence.</x:v>
      </x:c>
    </x:row>
    <x:row r="18" ht="32" customHeight="1">
      <x:c r="A18" s="12"/>
      <x:c r="B18" s="12"/>
      <x:c r="C18" s="13"/>
      <x:c r="D18" s="12"/>
      <x:c r="E18" s="12"/>
      <x:c r="F18" s="12"/>
      <x:c r="G18" s="12"/>
      <x:c r="H18" s="12"/>
      <x:c r="I18" s="12"/>
    </x:row>
    <x:row r="19" ht="32" customHeight="1">
      <x:c r="A19" s="12"/>
      <x:c r="B19" s="12"/>
      <x:c r="C19" s="13"/>
      <x:c r="D19" s="12"/>
      <x:c r="E19" s="12"/>
      <x:c r="F19" s="12"/>
      <x:c r="G19" s="12"/>
      <x:c r="H19" s="12"/>
      <x:c r="I19" s="12"/>
    </x:row>
    <x:row r="20" ht="32" customHeight="1">
      <x:c r="A20" s="12"/>
      <x:c r="B20" s="12"/>
      <x:c r="C20" s="13"/>
      <x:c r="D20" s="12"/>
      <x:c r="E20" s="12"/>
      <x:c r="F20" s="12"/>
      <x:c r="G20" s="12"/>
      <x:c r="H20" s="12"/>
      <x:c r="I20" s="12"/>
    </x:row>
    <x:row r="21" ht="32" customHeight="1">
      <x:c r="A21" s="12"/>
      <x:c r="B21" s="12"/>
      <x:c r="C21" s="13"/>
      <x:c r="D21" s="12"/>
      <x:c r="E21" s="12"/>
      <x:c r="F21" s="12"/>
      <x:c r="G21" s="12"/>
      <x:c r="H21" s="12"/>
      <x:c r="I21" s="12"/>
    </x:row>
    <x:row r="22" ht="32" customHeight="1">
      <x:c r="A22" s="12"/>
      <x:c r="B22" s="12"/>
      <x:c r="C22" s="13"/>
      <x:c r="D22" s="12"/>
      <x:c r="E22" s="12"/>
      <x:c r="F22" s="12"/>
      <x:c r="G22" s="12"/>
      <x:c r="H22" s="12"/>
      <x:c r="I22" s="12"/>
    </x:row>
    <x:row r="23" ht="32" customHeight="1">
      <x:c r="A23" s="12"/>
      <x:c r="B23" s="12"/>
      <x:c r="C23" s="13"/>
      <x:c r="D23" s="12"/>
      <x:c r="E23" s="12"/>
      <x:c r="F23" s="12"/>
      <x:c r="G23" s="12"/>
      <x:c r="H23" s="12"/>
      <x:c r="I23" s="12"/>
    </x:row>
    <x:row r="24" ht="32" customHeight="1">
      <x:c r="A24" s="12"/>
      <x:c r="B24" s="12"/>
      <x:c r="C24" s="13"/>
      <x:c r="D24" s="12"/>
      <x:c r="E24" s="12"/>
      <x:c r="F24" s="12"/>
      <x:c r="G24" s="12"/>
      <x:c r="H24" s="12"/>
      <x:c r="I24" s="12"/>
    </x:row>
    <x:row r="25" ht="32" customHeight="1">
      <x:c r="A25" s="12"/>
      <x:c r="B25" s="12"/>
      <x:c r="C25" s="13"/>
      <x:c r="D25" s="12"/>
      <x:c r="E25" s="12"/>
      <x:c r="F25" s="12"/>
      <x:c r="G25" s="12"/>
      <x:c r="H25" s="12"/>
      <x:c r="I25" s="12"/>
    </x:row>
    <x:row r="26" ht="32" customHeight="1">
      <x:c r="A26" s="12"/>
      <x:c r="B26" s="12"/>
      <x:c r="C26" s="13"/>
      <x:c r="D26" s="12"/>
      <x:c r="E26" s="12"/>
      <x:c r="F26" s="12"/>
      <x:c r="G26" s="12"/>
      <x:c r="H26" s="12"/>
      <x:c r="I26" s="12"/>
    </x:row>
    <x:row r="27" ht="32" customHeight="1">
      <x:c r="A27" s="12"/>
      <x:c r="B27" s="12"/>
      <x:c r="C27" s="13"/>
      <x:c r="D27" s="12"/>
      <x:c r="E27" s="12"/>
      <x:c r="F27" s="12"/>
      <x:c r="G27" s="12"/>
      <x:c r="H27" s="12"/>
      <x:c r="I27" s="12"/>
    </x:row>
    <x:row r="28" ht="32" customHeight="1">
      <x:c r="A28" s="12"/>
      <x:c r="B28" s="12"/>
      <x:c r="C28" s="13"/>
      <x:c r="D28" s="12"/>
      <x:c r="E28" s="12"/>
      <x:c r="F28" s="12"/>
      <x:c r="G28" s="12"/>
      <x:c r="H28" s="12"/>
      <x:c r="I28" s="12"/>
    </x:row>
    <x:row r="29" ht="32" customHeight="1">
      <x:c r="A29" s="12"/>
      <x:c r="B29" s="12"/>
      <x:c r="C29" s="13"/>
      <x:c r="D29" s="12"/>
      <x:c r="E29" s="12"/>
      <x:c r="F29" s="12"/>
      <x:c r="G29" s="12"/>
      <x:c r="H29" s="12"/>
      <x:c r="I29" s="12"/>
    </x:row>
    <x:row r="30" ht="32" customHeight="1">
      <x:c r="A30" s="12"/>
      <x:c r="B30" s="12"/>
      <x:c r="C30" s="13"/>
      <x:c r="D30" s="12"/>
      <x:c r="E30" s="12"/>
      <x:c r="F30" s="12"/>
      <x:c r="G30" s="12"/>
      <x:c r="H30" s="12"/>
      <x:c r="I30" s="12"/>
    </x:row>
    <x:row r="31" ht="32" customHeight="1">
      <x:c r="A31" s="12"/>
      <x:c r="B31" s="12"/>
      <x:c r="C31" s="13"/>
      <x:c r="D31" s="12"/>
      <x:c r="E31" s="12"/>
      <x:c r="F31" s="12"/>
      <x:c r="G31" s="12"/>
      <x:c r="H31" s="12"/>
      <x:c r="I31" s="12"/>
    </x:row>
    <x:row r="32" ht="32" customHeight="1">
      <x:c r="A32" s="12"/>
      <x:c r="B32" s="12"/>
      <x:c r="C32" s="13"/>
      <x:c r="D32" s="12"/>
      <x:c r="E32" s="12"/>
      <x:c r="F32" s="12"/>
      <x:c r="G32" s="12"/>
      <x:c r="H32" s="12"/>
      <x:c r="I32" s="12"/>
    </x:row>
  </x:sheetData>
  <x:dataValidations count="1">
    <x:dataValidation type="list" sqref="A2:A501">
      <x:formula1>'Timelines'!$A$2:$A$501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ffb5d20cfe4ab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76" hidden="0" customWidth="1"/>
    <x:col min="6" max="6" width="76" hidden="0" customWidth="1"/>
  </x:cols>
  <x:sheetData>
    <x:row r="1" ht="42" customHeight="1">
      <x:c r="A1" s="10" t="str">
        <x:v>timeline_id</x:v>
      </x:c>
      <x:c r="B1" s="10" t="str">
        <x:v>room_id</x:v>
      </x:c>
      <x:c r="C1" s="10" t="str">
        <x:v>roomName</x:v>
      </x:c>
      <x:c r="D1" s="10" t="str">
        <x:v>temporalScale</x:v>
      </x:c>
      <x:c r="E1" s="10" t="str">
        <x:v>introduction</x:v>
      </x:c>
      <x:c r="F1" s="10" t="str">
        <x:v>successText</x:v>
      </x:c>
    </x:row>
    <x:row r="2" ht="60" customHeight="1">
      <x:c r="A2" s="12" t="str">
        <x:v>local_lives</x:v>
      </x:c>
      <x:c r="B2" s="12" t="str">
        <x:v>historical_society</x:v>
      </x:c>
      <x:c r="C2" s="12" t="str">
        <x:v>Historical Society</x:v>
      </x:c>
      <x:c r="D2" s="12" t="str">
        <x:v>Years to decades</x:v>
      </x:c>
      <x:c r="E2" s="12" t="str">
        <x:v>Local Lives is a fictional teaching example, not the provenance of an exhibited object. Order the documents to distinguish personal ownership from institutional collecting.</x:v>
      </x:c>
      <x:c r="F2" s="12" t="str">
        <x:v>At the scale of years and decades, an individual decision or an accession can redirect an object’s history. A gap between documents remains a gap; it does not prove continuous ownership.</x:v>
      </x:c>
    </x:row>
    <x:row r="3" ht="60" customHeight="1">
      <x:c r="A3" s="12" t="str">
        <x:v>ivory_ages</x:v>
      </x:c>
      <x:c r="B3" s="12" t="str">
        <x:v>conservation_lab</x:v>
      </x:c>
      <x:c r="C3" s="12" t="str">
        <x:v>Conservation Lab</x:v>
      </x:c>
      <x:c r="D3" s="12" t="str">
        <x:v>Centuries to millennia</x:v>
      </x:c>
      <x:c r="E3" s="12" t="str">
        <x:v>Ivory Through the Ages is a fictional teaching sequence of dated workshop samples. It explores material and technique over long periods; these are not claims about the displayed figures or their provenance.</x:v>
      </x:c>
      <x:c r="F3" s="12" t="str">
        <x:v>Across centuries and millennia, related materials can support changing techniques and meanings. A broad period comparison reveals artistic traditions, while obscuring the individual transfers visible at a shorter scale.</x:v>
      </x:c>
    </x:row>
    <x:row r="4" ht="60" customHeight="1">
      <x:c r="A4" s="12" t="str">
        <x:v>family_traces</x:v>
      </x:c>
      <x:c r="B4" s="12" t="str">
        <x:v>attic</x:v>
      </x:c>
      <x:c r="C4" s="12" t="str">
        <x:v>Attic</x:v>
      </x:c>
      <x:c r="D4" s="12" t="str">
        <x:v>Fragmented years to decades</x:v>
      </x:c>
      <x:c r="E4" s="12" t="str">
        <x:v>Family Traces is a fictional teaching example. Two papers share an uncertain 1920s date and may appear in either order. Missing documents must not be replaced with an invented family history.</x:v>
      </x:c>
      <x:c r="F4" s="12" t="str">
        <x:v>Fragmented family records show what survives, not everything that happened. The two 1920s papers remain unordered within that decade, and the gap before rediscovery cannot establish an inheritance chain.</x:v>
      </x:c>
    </x:row>
    <x:row r="5" ht="60" customHeight="1">
      <x:c r="A5" s="12" t="str">
        <x:v>deep_time_evidence</x:v>
      </x:c>
      <x:c r="B5" s="12" t="str">
        <x:v>natural_history</x:v>
      </x:c>
      <x:c r="C5" s="12" t="str">
        <x:v>Natural History Museum</x:v>
      </x:c>
      <x:c r="D5" s="12" t="str">
        <x:v>Thousands to millions of years</x:v>
      </x:c>
      <x:c r="E5" s="12" t="str">
        <x:v>Arrange the evidence from the existing deep-time explorer. These are broad, partly overlapping intervals. Order the onset of each interval, not an exact date for every animal or extinction.</x:v>
      </x:c>
      <x:c r="F5" s="12" t="str">
        <x:v>Millions of years reveal evolution, dispersal and environmental change rather than a single owner’s story. The late intervals overlap: this order compares their beginnings and does not imply that every region changed at once.</x:v>
      </x:c>
    </x:row>
    <x:row r="6" ht="32" customHeight="1">
      <x:c r="A6" s="12"/>
      <x:c r="B6" s="12"/>
      <x:c r="C6" s="12"/>
      <x:c r="D6" s="12"/>
      <x:c r="E6" s="12"/>
      <x:c r="F6" s="12"/>
    </x:row>
    <x:row r="7" ht="32" customHeight="1">
      <x:c r="A7" s="12"/>
      <x:c r="B7" s="12"/>
      <x:c r="C7" s="12"/>
      <x:c r="D7" s="12"/>
      <x:c r="E7" s="12"/>
      <x:c r="F7" s="12"/>
    </x:row>
    <x:row r="8" ht="32" customHeight="1">
      <x:c r="A8" s="12"/>
      <x:c r="B8" s="12"/>
      <x:c r="C8" s="12"/>
      <x:c r="D8" s="12"/>
      <x:c r="E8" s="12"/>
      <x:c r="F8" s="12"/>
    </x:row>
    <x:row r="9" ht="32" customHeight="1">
      <x:c r="A9" s="12"/>
      <x:c r="B9" s="12"/>
      <x:c r="C9" s="12"/>
      <x:c r="D9" s="12"/>
      <x:c r="E9" s="12"/>
      <x:c r="F9" s="12"/>
    </x:row>
    <x:row r="10" ht="32" customHeight="1">
      <x:c r="A10" s="12"/>
      <x:c r="B10" s="12"/>
      <x:c r="C10" s="12"/>
      <x:c r="D10" s="12"/>
      <x:c r="E10" s="12"/>
      <x:c r="F10" s="12"/>
    </x:row>
    <x:row r="11" ht="32" customHeight="1">
      <x:c r="A11" s="12"/>
      <x:c r="B11" s="12"/>
      <x:c r="C11" s="12"/>
      <x:c r="D11" s="12"/>
      <x:c r="E11" s="12"/>
      <x:c r="F11" s="12"/>
    </x:row>
    <x:row r="12" ht="32" customHeight="1">
      <x:c r="A12" s="12"/>
      <x:c r="B12" s="12"/>
      <x:c r="C12" s="12"/>
      <x:c r="D12" s="12"/>
      <x:c r="E12" s="12"/>
      <x:c r="F12" s="12"/>
    </x:row>
    <x:row r="13" ht="32" customHeight="1">
      <x:c r="A13" s="12"/>
      <x:c r="B13" s="12"/>
      <x:c r="C13" s="12"/>
      <x:c r="D13" s="12"/>
      <x:c r="E13" s="12"/>
      <x:c r="F13" s="12"/>
    </x:row>
    <x:row r="14" ht="32" customHeight="1">
      <x:c r="A14" s="12"/>
      <x:c r="B14" s="12"/>
      <x:c r="C14" s="12"/>
      <x:c r="D14" s="12"/>
      <x:c r="E14" s="12"/>
      <x:c r="F14" s="12"/>
    </x:row>
    <x:row r="15" ht="32" customHeight="1">
      <x:c r="A15" s="12"/>
      <x:c r="B15" s="12"/>
      <x:c r="C15" s="12"/>
      <x:c r="D15" s="12"/>
      <x:c r="E15" s="12"/>
      <x:c r="F15" s="12"/>
    </x:row>
    <x:row r="16" ht="32" customHeight="1">
      <x:c r="A16" s="12"/>
      <x:c r="B16" s="12"/>
      <x:c r="C16" s="12"/>
      <x:c r="D16" s="12"/>
      <x:c r="E16" s="12"/>
      <x:c r="F16" s="12"/>
    </x:row>
    <x:row r="17" ht="32" customHeight="1">
      <x:c r="A17" s="12"/>
      <x:c r="B17" s="12"/>
      <x:c r="C17" s="12"/>
      <x:c r="D17" s="12"/>
      <x:c r="E17" s="12"/>
      <x:c r="F17" s="12"/>
    </x:row>
    <x:row r="18" ht="32" customHeight="1">
      <x:c r="A18" s="12"/>
      <x:c r="B18" s="12"/>
      <x:c r="C18" s="12"/>
      <x:c r="D18" s="12"/>
      <x:c r="E18" s="12"/>
      <x:c r="F18" s="12"/>
    </x:row>
    <x:row r="19" ht="32" customHeight="1">
      <x:c r="A19" s="12"/>
      <x:c r="B19" s="12"/>
      <x:c r="C19" s="12"/>
      <x:c r="D19" s="12"/>
      <x:c r="E19" s="12"/>
      <x:c r="F19" s="12"/>
    </x:row>
    <x:row r="20" ht="32" customHeight="1">
      <x:c r="A20" s="12"/>
      <x:c r="B20" s="12"/>
      <x:c r="C20" s="12"/>
      <x:c r="D20" s="12"/>
      <x:c r="E20" s="12"/>
      <x:c r="F20" s="12"/>
    </x:row>
  </x:sheetData>
  <x:pageMargins left="0.7" right="0.7" top="0.75" bottom="0.75" header="0.3" footer="0.3"/>
  <x:tableParts count="1">
    <x:tablePart xmlns:r="http://schemas.openxmlformats.org/officeDocument/2006/relationships" r:id="Rc7eeedd787854ec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38" hidden="0" customWidth="1"/>
    <x:col min="3" max="3" width="45" hidden="0" customWidth="1"/>
    <x:col min="4" max="4" width="58" hidden="0" customWidth="1"/>
    <x:col min="5" max="5" width="28" hidden="0" customWidth="1"/>
  </x:cols>
  <x:sheetData>
    <x:row r="1" ht="42" customHeight="1">
      <x:c r="A1" s="10" t="str">
        <x:v>room_id</x:v>
      </x:c>
      <x:c r="B1" s="10" t="str">
        <x:v>editor_label</x:v>
      </x:c>
      <x:c r="C1" s="10" t="str">
        <x:v>route</x:v>
      </x:c>
      <x:c r="D1" s="10" t="str">
        <x:v>background_asset</x:v>
      </x:c>
      <x:c r="E1" s="10" t="str">
        <x:v>enabled</x:v>
      </x:c>
    </x:row>
    <x:row r="2" ht="34" customHeight="1">
      <x:c r="A2" s="17" t="str">
        <x:v>vestibule</x:v>
      </x:c>
      <x:c r="B2" s="17" t="str">
        <x:v>Vestibule</x:v>
      </x:c>
      <x:c r="C2" s="16" t="str">
        <x:v>/pages/vestibule.html</x:v>
      </x:c>
      <x:c r="D2" s="16" t="str">
        <x:v>/assets/img/Vestibule12.png</x:v>
      </x:c>
      <x:c r="E2" s="17" t="str">
        <x:v>true</x:v>
      </x:c>
    </x:row>
    <x:row r="3" ht="34" customHeight="1">
      <x:c r="A3" s="17" t="str">
        <x:v>gallery</x:v>
      </x:c>
      <x:c r="B3" s="17" t="str">
        <x:v>Gallery</x:v>
      </x:c>
      <x:c r="C3" s="16" t="str">
        <x:v>/pages/rooms/gallery.html</x:v>
      </x:c>
      <x:c r="D3" s="16" t="str">
        <x:v>/assets/img/room-edits/gallery-door-v1.png</x:v>
      </x:c>
      <x:c r="E3" s="17" t="str">
        <x:v>true</x:v>
      </x:c>
    </x:row>
    <x:row r="4" ht="34" customHeight="1">
      <x:c r="A4" s="17" t="str">
        <x:v>conservation_lab</x:v>
      </x:c>
      <x:c r="B4" s="17" t="str">
        <x:v>Conservation Lab</x:v>
      </x:c>
      <x:c r="C4" s="16" t="str">
        <x:v>/pages/rooms/art.html</x:v>
      </x:c>
      <x:c r="D4" s="16" t="str">
        <x:v>/assets/img/room-edits/conservation-lab-poster-v1.png</x:v>
      </x:c>
      <x:c r="E4" s="17" t="str">
        <x:v>true</x:v>
      </x:c>
    </x:row>
    <x:row r="5" ht="34" customHeight="1">
      <x:c r="A5" s="17" t="str">
        <x:v>historical_society</x:v>
      </x:c>
      <x:c r="B5" s="17" t="str">
        <x:v>Historical Society</x:v>
      </x:c>
      <x:c r="C5" s="16" t="str">
        <x:v>/pages/rooms/historical-society.html</x:v>
      </x:c>
      <x:c r="D5" s="16" t="str">
        <x:v>/assets/img/room-edits/historical-society-poster-v1.png</x:v>
      </x:c>
      <x:c r="E5" s="17" t="str">
        <x:v>true</x:v>
      </x:c>
    </x:row>
    <x:row r="6" ht="34" customHeight="1">
      <x:c r="A6" s="17" t="str">
        <x:v>attic</x:v>
      </x:c>
      <x:c r="B6" s="17" t="str">
        <x:v>Attic</x:v>
      </x:c>
      <x:c r="C6" s="16" t="str">
        <x:v>/pages/rooms/attic.html</x:v>
      </x:c>
      <x:c r="D6" s="16" t="str">
        <x:v>/assets/img/room-edits/attic-board-v1.png</x:v>
      </x:c>
      <x:c r="E6" s="17" t="str">
        <x:v>true</x:v>
      </x:c>
    </x:row>
    <x:row r="7" ht="34" customHeight="1">
      <x:c r="A7" s="17" t="str">
        <x:v>natural_history</x:v>
      </x:c>
      <x:c r="B7" s="17" t="str">
        <x:v>Natural History Museum</x:v>
      </x:c>
      <x:c r="C7" s="16" t="str">
        <x:v>/pages/rooms/natural-history.html</x:v>
      </x:c>
      <x:c r="D7" s="16" t="str">
        <x:v>/assets/img/Natural History Museum Interior12.jpg</x:v>
      </x:c>
      <x:c r="E7" s="17" t="str">
        <x:v>true</x:v>
      </x:c>
    </x:row>
    <x:row r="8" ht="34" customHeight="1">
      <x:c r="A8" s="17" t="str">
        <x:v>conservators_office</x:v>
      </x:c>
      <x:c r="B8" s="17" t="str">
        <x:v>Conservator's Office</x:v>
      </x:c>
      <x:c r="C8" s="16" t="str">
        <x:v>/pages/rooms/conservators-office.html</x:v>
      </x:c>
      <x:c r="D8" s="16" t="str">
        <x:v>/assets/img/Conservator's Office Interior 12.png</x:v>
      </x:c>
      <x:c r="E8" s="17" t="str">
        <x:v>true</x:v>
      </x:c>
    </x:row>
    <x:row r="9" ht="34" customHeight="1">
      <x:c r="A9" s="17" t="str">
        <x:v>lab</x:v>
      </x:c>
      <x:c r="B9" s="17" t="str">
        <x:v>Lab</x:v>
      </x:c>
      <x:c r="C9" s="16" t="str">
        <x:v>/pages/rooms/lab.html</x:v>
      </x:c>
      <x:c r="D9" s="16" t="str"/>
      <x:c r="E9" s="17" t="str">
        <x:v>true</x:v>
      </x:c>
    </x:row>
    <x:row r="10" ht="32" customHeight="1">
      <x:c r="A10" s="17"/>
      <x:c r="B10" s="17"/>
      <x:c r="C10" s="16"/>
      <x:c r="D10" s="16"/>
      <x:c r="E10" s="17"/>
    </x:row>
    <x:row r="11" ht="32" customHeight="1">
      <x:c r="A11" s="17"/>
      <x:c r="B11" s="17"/>
      <x:c r="C11" s="16"/>
      <x:c r="D11" s="16"/>
      <x:c r="E11" s="17"/>
    </x:row>
    <x:row r="12" ht="32" customHeight="1">
      <x:c r="A12" s="17"/>
      <x:c r="B12" s="17"/>
      <x:c r="C12" s="16"/>
      <x:c r="D12" s="16"/>
      <x:c r="E12" s="17"/>
    </x:row>
    <x:row r="13" ht="32" customHeight="1">
      <x:c r="A13" s="17"/>
      <x:c r="B13" s="17"/>
      <x:c r="C13" s="16"/>
      <x:c r="D13" s="16"/>
      <x:c r="E13" s="17"/>
    </x:row>
    <x:row r="14" ht="32" customHeight="1">
      <x:c r="A14" s="17"/>
      <x:c r="B14" s="17"/>
      <x:c r="C14" s="16"/>
      <x:c r="D14" s="16"/>
      <x:c r="E14" s="17"/>
    </x:row>
    <x:row r="15" ht="32" customHeight="1">
      <x:c r="A15" s="17"/>
      <x:c r="B15" s="17"/>
      <x:c r="C15" s="16"/>
      <x:c r="D15" s="16"/>
      <x:c r="E15" s="17"/>
    </x:row>
    <x:row r="16" ht="32" customHeight="1">
      <x:c r="A16" s="17"/>
      <x:c r="B16" s="17"/>
      <x:c r="C16" s="16"/>
      <x:c r="D16" s="16"/>
      <x:c r="E16" s="17"/>
    </x:row>
    <x:row r="17" ht="32" customHeight="1">
      <x:c r="A17" s="17"/>
      <x:c r="B17" s="17"/>
      <x:c r="C17" s="16"/>
      <x:c r="D17" s="16"/>
      <x:c r="E17" s="17"/>
    </x:row>
    <x:row r="18" ht="32" customHeight="1">
      <x:c r="A18" s="17"/>
      <x:c r="B18" s="17"/>
      <x:c r="C18" s="16"/>
      <x:c r="D18" s="16"/>
      <x:c r="E18" s="17"/>
    </x:row>
    <x:row r="19" ht="32" customHeight="1">
      <x:c r="A19" s="17"/>
      <x:c r="B19" s="17"/>
      <x:c r="C19" s="16"/>
      <x:c r="D19" s="16"/>
      <x:c r="E19" s="17"/>
    </x:row>
    <x:row r="20" ht="32" customHeight="1">
      <x:c r="A20" s="17"/>
      <x:c r="B20" s="17"/>
      <x:c r="C20" s="16"/>
      <x:c r="D20" s="16"/>
      <x:c r="E20" s="17"/>
    </x:row>
    <x:row r="21" ht="32" customHeight="1">
      <x:c r="A21" s="17"/>
      <x:c r="B21" s="17"/>
      <x:c r="C21" s="16"/>
      <x:c r="D21" s="16"/>
      <x:c r="E21" s="17"/>
    </x:row>
    <x:row r="22" ht="32" customHeight="1">
      <x:c r="A22" s="17"/>
      <x:c r="B22" s="17"/>
      <x:c r="C22" s="16"/>
      <x:c r="D22" s="16"/>
      <x:c r="E22" s="17"/>
    </x:row>
    <x:row r="23" ht="32" customHeight="1">
      <x:c r="A23" s="17"/>
      <x:c r="B23" s="17"/>
      <x:c r="C23" s="16"/>
      <x:c r="D23" s="16"/>
      <x:c r="E23" s="17"/>
    </x:row>
    <x:row r="24" ht="32" customHeight="1">
      <x:c r="A24" s="17"/>
      <x:c r="B24" s="17"/>
      <x:c r="C24" s="16"/>
      <x:c r="D24" s="16"/>
      <x:c r="E24" s="17"/>
    </x:row>
  </x:sheetData>
  <x:dataValidations count="1">
    <x:dataValidation type="list" sqref="E2:E5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486a4ba3db490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28" hidden="0" customWidth="1"/>
    <x:col min="3" max="3" width="28" hidden="0" customWidth="1"/>
    <x:col min="4" max="4" width="38" hidden="0" customWidth="1"/>
    <x:col min="5" max="5" width="28" hidden="0" customWidth="1"/>
    <x:col min="6" max="6" width="28" hidden="0" customWidth="1"/>
    <x:col min="7" max="7" width="54" hidden="0" customWidth="1"/>
    <x:col min="8" max="8" width="28" hidden="0" customWidth="1"/>
    <x:col min="9" max="9" width="70" hidden="0" customWidth="1"/>
    <x:col min="10" max="10" width="70" hidden="0" customWidth="1"/>
  </x:cols>
  <x:sheetData>
    <x:row r="1" ht="42" customHeight="1">
      <x:c r="A1" s="10" t="str">
        <x:v>slot_id</x:v>
      </x:c>
      <x:c r="B1" s="10" t="str">
        <x:v>room_id</x:v>
      </x:c>
      <x:c r="C1" s="10" t="str">
        <x:v>zone_id</x:v>
      </x:c>
      <x:c r="D1" s="10" t="str">
        <x:v>editor_label</x:v>
      </x:c>
      <x:c r="E1" s="10" t="str">
        <x:v>slot_type</x:v>
      </x:c>
      <x:c r="F1" s="11" t="str">
        <x:v>capacity</x:v>
      </x:c>
      <x:c r="G1" s="10" t="str">
        <x:v>anchor_id</x:v>
      </x:c>
      <x:c r="H1" s="10" t="str">
        <x:v>enabled</x:v>
      </x:c>
      <x:c r="I1" s="10" t="str">
        <x:v>notes</x:v>
      </x:c>
      <x:c r="J1" s="10" t="str">
        <x:v>display_description</x:v>
      </x:c>
    </x:row>
    <x:row r="2" ht="44" customHeight="1">
      <x:c r="A2" s="17" t="str">
        <x:v>gallery_intro</x:v>
      </x:c>
      <x:c r="B2" s="17" t="str">
        <x:v>gallery</x:v>
      </x:c>
      <x:c r="C2" s="17" t="str">
        <x:v>intro</x:v>
      </x:c>
      <x:c r="D2" s="17" t="str">
        <x:v>Gallery introduction</x:v>
      </x:c>
      <x:c r="E2" s="17" t="str">
        <x:v>detail</x:v>
      </x:c>
      <x:c r="F2" s="18" t="n">
        <x:v>1</x:v>
      </x:c>
      <x:c r="G2" s="16" t="str">
        <x:v>gallery_intro_anchor</x:v>
      </x:c>
      <x:c r="H2" s="17" t="str">
        <x:v>true</x:v>
      </x:c>
      <x:c r="I2" s="17" t="str">
        <x:v>Interpretation of the existing furnishing or label; no object identity inferred.</x:v>
      </x:c>
      <x:c r="J2" s="17" t="str"/>
    </x:row>
    <x:row r="3" ht="44" customHeight="1">
      <x:c r="A3" s="17" t="str">
        <x:v>conservation_lab_intro</x:v>
      </x:c>
      <x:c r="B3" s="17" t="str">
        <x:v>conservation_lab</x:v>
      </x:c>
      <x:c r="C3" s="17" t="str">
        <x:v>intro</x:v>
      </x:c>
      <x:c r="D3" s="17" t="str">
        <x:v>Conservation Lab introduction</x:v>
      </x:c>
      <x:c r="E3" s="17" t="str">
        <x:v>detail</x:v>
      </x:c>
      <x:c r="F3" s="18" t="n">
        <x:v>1</x:v>
      </x:c>
      <x:c r="G3" s="16" t="str">
        <x:v>conservation_lab_intro_anchor</x:v>
      </x:c>
      <x:c r="H3" s="17" t="str">
        <x:v>true</x:v>
      </x:c>
      <x:c r="I3" s="17" t="str">
        <x:v>Interpretation of the existing furnishing or label; no object identity inferred.</x:v>
      </x:c>
      <x:c r="J3" s="17" t="str"/>
    </x:row>
    <x:row r="4" ht="44" customHeight="1">
      <x:c r="A4" s="17" t="str">
        <x:v>historical_society_intro</x:v>
      </x:c>
      <x:c r="B4" s="17" t="str">
        <x:v>historical_society</x:v>
      </x:c>
      <x:c r="C4" s="17" t="str">
        <x:v>intro</x:v>
      </x:c>
      <x:c r="D4" s="17" t="str">
        <x:v>Historical Society introduction</x:v>
      </x:c>
      <x:c r="E4" s="17" t="str">
        <x:v>detail</x:v>
      </x:c>
      <x:c r="F4" s="18" t="n">
        <x:v>1</x:v>
      </x:c>
      <x:c r="G4" s="16" t="str">
        <x:v>historical_society_intro_anchor</x:v>
      </x:c>
      <x:c r="H4" s="17" t="str">
        <x:v>true</x:v>
      </x:c>
      <x:c r="I4" s="17" t="str">
        <x:v>Interpretation of the existing furnishing or label; no object identity inferred.</x:v>
      </x:c>
      <x:c r="J4" s="17" t="str"/>
    </x:row>
    <x:row r="5" ht="44" customHeight="1">
      <x:c r="A5" s="17" t="str">
        <x:v>attic_intro</x:v>
      </x:c>
      <x:c r="B5" s="17" t="str">
        <x:v>attic</x:v>
      </x:c>
      <x:c r="C5" s="17" t="str">
        <x:v>intro</x:v>
      </x:c>
      <x:c r="D5" s="17" t="str">
        <x:v>Attic introduction</x:v>
      </x:c>
      <x:c r="E5" s="17" t="str">
        <x:v>detail</x:v>
      </x:c>
      <x:c r="F5" s="18" t="n">
        <x:v>1</x:v>
      </x:c>
      <x:c r="G5" s="16" t="str">
        <x:v>attic_intro_anchor</x:v>
      </x:c>
      <x:c r="H5" s="17" t="str">
        <x:v>true</x:v>
      </x:c>
      <x:c r="I5" s="17" t="str">
        <x:v>Interpretation of the existing furnishing or label; no object identity inferred.</x:v>
      </x:c>
      <x:c r="J5" s="17" t="str"/>
    </x:row>
    <x:row r="6" ht="44" customHeight="1">
      <x:c r="A6" s="17" t="str">
        <x:v>natural_history_intro</x:v>
      </x:c>
      <x:c r="B6" s="17" t="str">
        <x:v>natural_history</x:v>
      </x:c>
      <x:c r="C6" s="17" t="str">
        <x:v>intro</x:v>
      </x:c>
      <x:c r="D6" s="17" t="str">
        <x:v>Natural History Museum introduction</x:v>
      </x:c>
      <x:c r="E6" s="17" t="str">
        <x:v>detail</x:v>
      </x:c>
      <x:c r="F6" s="18" t="n">
        <x:v>1</x:v>
      </x:c>
      <x:c r="G6" s="16" t="str">
        <x:v>natural_history_intro_anchor</x:v>
      </x:c>
      <x:c r="H6" s="17" t="str">
        <x:v>true</x:v>
      </x:c>
      <x:c r="I6" s="17" t="str">
        <x:v>Interpretation of the existing furnishing or label; no object identity inferred.</x:v>
      </x:c>
      <x:c r="J6" s="17" t="str"/>
    </x:row>
    <x:row r="7" ht="44" customHeight="1">
      <x:c r="A7" s="17" t="str">
        <x:v>conservators_office_intro</x:v>
      </x:c>
      <x:c r="B7" s="17" t="str">
        <x:v>conservators_office</x:v>
      </x:c>
      <x:c r="C7" s="17" t="str">
        <x:v>intro</x:v>
      </x:c>
      <x:c r="D7" s="17" t="str">
        <x:v>Conservator's Office introduction</x:v>
      </x:c>
      <x:c r="E7" s="17" t="str">
        <x:v>detail</x:v>
      </x:c>
      <x:c r="F7" s="18" t="n">
        <x:v>1</x:v>
      </x:c>
      <x:c r="G7" s="16" t="str">
        <x:v>conservators_office_intro_anchor</x:v>
      </x:c>
      <x:c r="H7" s="17" t="str">
        <x:v>true</x:v>
      </x:c>
      <x:c r="I7" s="17" t="str">
        <x:v>Interpretation of the existing furnishing or label; no object identity inferred.</x:v>
      </x:c>
      <x:c r="J7" s="17" t="str"/>
    </x:row>
    <x:row r="8" ht="44" customHeight="1">
      <x:c r="A8" s="17" t="str">
        <x:v>lab_intro</x:v>
      </x:c>
      <x:c r="B8" s="17" t="str">
        <x:v>lab</x:v>
      </x:c>
      <x:c r="C8" s="17" t="str">
        <x:v>intro</x:v>
      </x:c>
      <x:c r="D8" s="17" t="str">
        <x:v>Lab introduction</x:v>
      </x:c>
      <x:c r="E8" s="17" t="str">
        <x:v>detail</x:v>
      </x:c>
      <x:c r="F8" s="18" t="n">
        <x:v>1</x:v>
      </x:c>
      <x:c r="G8" s="16" t="str">
        <x:v>lab_intro_anchor</x:v>
      </x:c>
      <x:c r="H8" s="17" t="str">
        <x:v>true</x:v>
      </x:c>
      <x:c r="I8" s="17" t="str">
        <x:v>Interpretation of the existing furnishing or label; no object identity inferred.</x:v>
      </x:c>
      <x:c r="J8" s="17" t="str"/>
    </x:row>
    <x:row r="9" ht="34" customHeight="1">
      <x:c r="A9" s="17" t="str">
        <x:v>vestibule_welcome_01</x:v>
      </x:c>
      <x:c r="B9" s="17" t="str">
        <x:v>vestibule</x:v>
      </x:c>
      <x:c r="C9" s="17" t="str">
        <x:v>welcome</x:v>
      </x:c>
      <x:c r="D9" s="17" t="str">
        <x:v>Welcome and check-in</x:v>
      </x:c>
      <x:c r="E9" s="17" t="str">
        <x:v>tool</x:v>
      </x:c>
      <x:c r="F9" s="18" t="n">
        <x:v>1</x:v>
      </x:c>
      <x:c r="G9" s="16" t="str">
        <x:v>vestibule_welcome_01_anchor</x:v>
      </x:c>
      <x:c r="H9" s="17" t="str">
        <x:v>true</x:v>
      </x:c>
      <x:c r="I9" s="17" t="str"/>
      <x:c r="J9" s="17" t="str"/>
    </x:row>
    <x:row r="10" ht="44" customHeight="1">
      <x:c r="A10" s="17" t="str">
        <x:v>gallery_wall_01</x:v>
      </x:c>
      <x:c r="B10" s="17" t="str">
        <x:v>gallery</x:v>
      </x:c>
      <x:c r="C10" s="17" t="str">
        <x:v>wall</x:v>
      </x:c>
      <x:c r="D10" s="17" t="str">
        <x:v>Near left-wall relief</x:v>
      </x:c>
      <x:c r="E10" s="17" t="str">
        <x:v>collection</x:v>
      </x:c>
      <x:c r="F10" s="18" t="n">
        <x:v>8</x:v>
      </x:c>
      <x:c r="G10" s="16" t="str">
        <x:v>gallery_wall_01_anchor</x:v>
      </x:c>
      <x:c r="H10" s="17" t="str">
        <x:v>true</x:v>
      </x:c>
      <x:c r="I10" s="17" t="str">
        <x:v>Fixed illustrated exhibit. Identity unverified; collections are comparative research, not assignments to the painted object.</x:v>
      </x:c>
      <x:c r="J10" s="17" t="str"/>
    </x:row>
    <x:row r="11" ht="44" customHeight="1">
      <x:c r="A11" s="17" t="str">
        <x:v>gallery_wall_02</x:v>
      </x:c>
      <x:c r="B11" s="17" t="str">
        <x:v>gallery</x:v>
      </x:c>
      <x:c r="C11" s="17" t="str">
        <x:v>wall</x:v>
      </x:c>
      <x:c r="D11" s="17" t="str">
        <x:v>Far left-wall relief</x:v>
      </x:c>
      <x:c r="E11" s="17" t="str">
        <x:v>collection</x:v>
      </x:c>
      <x:c r="F11" s="18" t="n">
        <x:v>8</x:v>
      </x:c>
      <x:c r="G11" s="16" t="str">
        <x:v>gallery_wall_02_anchor</x:v>
      </x:c>
      <x:c r="H11" s="17" t="str">
        <x:v>true</x:v>
      </x:c>
      <x:c r="I11" s="17" t="str">
        <x:v>Fixed illustrated exhibit. Identity unverified; collections are comparative research, not assignments to the painted object.</x:v>
      </x:c>
      <x:c r="J11" s="17" t="str"/>
    </x:row>
    <x:row r="12" ht="44" customHeight="1">
      <x:c r="A12" s="17" t="str">
        <x:v>gallery_case_01</x:v>
      </x:c>
      <x:c r="B12" s="17" t="str">
        <x:v>gallery</x:v>
      </x:c>
      <x:c r="C12" s="17" t="str">
        <x:v>case</x:v>
      </x:c>
      <x:c r="D12" s="17" t="str">
        <x:v>Front glass case</x:v>
      </x:c>
      <x:c r="E12" s="17" t="str">
        <x:v>collection</x:v>
      </x:c>
      <x:c r="F12" s="18" t="n">
        <x:v>8</x:v>
      </x:c>
      <x:c r="G12" s="16" t="str">
        <x:v>gallery_case_01_anchor</x:v>
      </x:c>
      <x:c r="H12" s="17" t="str">
        <x:v>true</x:v>
      </x:c>
      <x:c r="I12" s="17" t="str">
        <x:v>Fixed illustrated exhibit. Identity unverified; collections are comparative research, not assignments to the painted object.</x:v>
      </x:c>
      <x:c r="J12" s="17" t="str"/>
    </x:row>
    <x:row r="13" ht="44" customHeight="1">
      <x:c r="A13" s="17" t="str">
        <x:v>gallery_case_02</x:v>
      </x:c>
      <x:c r="B13" s="17" t="str">
        <x:v>gallery</x:v>
      </x:c>
      <x:c r="C13" s="17" t="str">
        <x:v>case</x:v>
      </x:c>
      <x:c r="D13" s="17" t="str">
        <x:v>Rear round display</x:v>
      </x:c>
      <x:c r="E13" s="17" t="str">
        <x:v>collection</x:v>
      </x:c>
      <x:c r="F13" s="18" t="n">
        <x:v>8</x:v>
      </x:c>
      <x:c r="G13" s="16" t="str">
        <x:v>gallery_case_02_anchor</x:v>
      </x:c>
      <x:c r="H13" s="17" t="str">
        <x:v>true</x:v>
      </x:c>
      <x:c r="I13" s="17" t="str">
        <x:v>Fixed illustrated exhibit. Identity unverified; collections are comparative research, not assignments to the painted object.</x:v>
      </x:c>
      <x:c r="J13" s="17" t="str"/>
    </x:row>
    <x:row r="14" ht="44" customHeight="1">
      <x:c r="A14" s="17" t="str">
        <x:v>gallery_wall_03</x:v>
      </x:c>
      <x:c r="B14" s="17" t="str">
        <x:v>gallery</x:v>
      </x:c>
      <x:c r="C14" s="17" t="str">
        <x:v>wall</x:v>
      </x:c>
      <x:c r="D14" s="17" t="str">
        <x:v>Small rear-wall frame</x:v>
      </x:c>
      <x:c r="E14" s="17" t="str">
        <x:v>detail</x:v>
      </x:c>
      <x:c r="F14" s="18" t="n">
        <x:v>1</x:v>
      </x:c>
      <x:c r="G14" s="16" t="str">
        <x:v>gallery_wall_03_anchor</x:v>
      </x:c>
      <x:c r="H14" s="17" t="str">
        <x:v>true</x:v>
      </x:c>
      <x:c r="I14" s="17" t="str">
        <x:v>Existing sconce research access point; replaceable photograph inside the empty frame.</x:v>
      </x:c>
      <x:c r="J14" s="17" t="str"/>
    </x:row>
    <x:row r="15" ht="60" customHeight="1">
      <x:c r="A15" s="17" t="str">
        <x:v>conservation_lab_table_01</x:v>
      </x:c>
      <x:c r="B15" s="17" t="str">
        <x:v>conservation_lab</x:v>
      </x:c>
      <x:c r="C15" s="17" t="str">
        <x:v>table</x:v>
      </x:c>
      <x:c r="D15" s="17" t="str">
        <x:v>Central ivories collection</x:v>
      </x:c>
      <x:c r="E15" s="17" t="str">
        <x:v>collection</x:v>
      </x:c>
      <x:c r="F15" s="18" t="n">
        <x:v>12</x:v>
      </x:c>
      <x:c r="G15" s="16" t="str">
        <x:v>conservation_lab_table_01_anchor</x:v>
      </x:c>
      <x:c r="H15" s="17" t="str">
        <x:v>true</x:v>
      </x:c>
      <x:c r="I15" s="17" t="str">
        <x:v>Six painted figures; panel capacity is twelve records, not twelve physical figures.</x:v>
      </x:c>
      <x:c r="J15" s="17" t="str">
        <x:v>Six figures are painted in this display. The panel links to the existing collection record; its capacity does not describe the number of figures.</x:v>
      </x:c>
    </x:row>
    <x:row r="16" ht="34" customHeight="1">
      <x:c r="A16" s="17" t="str">
        <x:v>conservation_lab_timeline_01</x:v>
      </x:c>
      <x:c r="B16" s="17" t="str">
        <x:v>conservation_lab</x:v>
      </x:c>
      <x:c r="C16" s="17" t="str">
        <x:v>timeline</x:v>
      </x:c>
      <x:c r="D16" s="17" t="str">
        <x:v>Ivory Through the Ages</x:v>
      </x:c>
      <x:c r="E16" s="17" t="str">
        <x:v>timeline</x:v>
      </x:c>
      <x:c r="F16" s="18" t="n">
        <x:v>1</x:v>
      </x:c>
      <x:c r="G16" s="16" t="str">
        <x:v>conservation_lab_timeline_01_anchor</x:v>
      </x:c>
      <x:c r="H16" s="17" t="str">
        <x:v>true</x:v>
      </x:c>
      <x:c r="I16" s="17" t="str"/>
      <x:c r="J16" s="17" t="str"/>
    </x:row>
    <x:row r="17" ht="34" customHeight="1">
      <x:c r="A17" s="17" t="str">
        <x:v>conservation_lab_media_01</x:v>
      </x:c>
      <x:c r="B17" s="17" t="str">
        <x:v>conservation_lab</x:v>
      </x:c>
      <x:c r="C17" s="17" t="str">
        <x:v>media</x:v>
      </x:c>
      <x:c r="D17" s="17" t="str">
        <x:v>Rear analysis workbench</x:v>
      </x:c>
      <x:c r="E17" s="17" t="str">
        <x:v>tool</x:v>
      </x:c>
      <x:c r="F17" s="18" t="n">
        <x:v>1</x:v>
      </x:c>
      <x:c r="G17" s="16" t="str">
        <x:v>conservation_lab_media_01_anchor</x:v>
      </x:c>
      <x:c r="H17" s="17" t="str">
        <x:v>true</x:v>
      </x:c>
      <x:c r="I17" s="17" t="str"/>
      <x:c r="J17" s="17" t="str"/>
    </x:row>
    <x:row r="18" ht="34" customHeight="1">
      <x:c r="A18" s="17" t="str">
        <x:v>historical_society_timeline_01</x:v>
      </x:c>
      <x:c r="B18" s="17" t="str">
        <x:v>historical_society</x:v>
      </x:c>
      <x:c r="C18" s="17" t="str">
        <x:v>timeline</x:v>
      </x:c>
      <x:c r="D18" s="17" t="str">
        <x:v>Local Lives</x:v>
      </x:c>
      <x:c r="E18" s="17" t="str">
        <x:v>timeline</x:v>
      </x:c>
      <x:c r="F18" s="18" t="n">
        <x:v>1</x:v>
      </x:c>
      <x:c r="G18" s="16" t="str">
        <x:v>historical_society_timeline_01_anchor</x:v>
      </x:c>
      <x:c r="H18" s="17" t="str">
        <x:v>true</x:v>
      </x:c>
      <x:c r="I18" s="17" t="str"/>
      <x:c r="J18" s="17" t="str"/>
    </x:row>
    <x:row r="19" ht="34" customHeight="1">
      <x:c r="A19" s="17" t="str">
        <x:v>historical_society_case_01</x:v>
      </x:c>
      <x:c r="B19" s="17" t="str">
        <x:v>historical_society</x:v>
      </x:c>
      <x:c r="C19" s="17" t="str">
        <x:v>case</x:v>
      </x:c>
      <x:c r="D19" s="17" t="str">
        <x:v>Window-side case</x:v>
      </x:c>
      <x:c r="E19" s="17" t="str">
        <x:v>collection</x:v>
      </x:c>
      <x:c r="F19" s="18" t="n">
        <x:v>8</x:v>
      </x:c>
      <x:c r="G19" s="16" t="str">
        <x:v>historical_society_case_01_anchor</x:v>
      </x:c>
      <x:c r="H19" s="17" t="str">
        <x:v>true</x:v>
      </x:c>
      <x:c r="I19" s="17" t="str"/>
      <x:c r="J19" s="17" t="str"/>
    </x:row>
    <x:row r="20" ht="34" customHeight="1">
      <x:c r="A20" s="17" t="str">
        <x:v>historical_society_case_02</x:v>
      </x:c>
      <x:c r="B20" s="17" t="str">
        <x:v>historical_society</x:v>
      </x:c>
      <x:c r="C20" s="17" t="str">
        <x:v>case</x:v>
      </x:c>
      <x:c r="D20" s="17" t="str">
        <x:v>Foreground-right case</x:v>
      </x:c>
      <x:c r="E20" s="17" t="str">
        <x:v>collection</x:v>
      </x:c>
      <x:c r="F20" s="18" t="n">
        <x:v>8</x:v>
      </x:c>
      <x:c r="G20" s="16" t="str">
        <x:v>historical_society_case_02_anchor</x:v>
      </x:c>
      <x:c r="H20" s="17" t="str">
        <x:v>true</x:v>
      </x:c>
      <x:c r="I20" s="17" t="str"/>
      <x:c r="J20" s="17" t="str"/>
    </x:row>
    <x:row r="21" ht="34" customHeight="1">
      <x:c r="A21" s="17" t="str">
        <x:v>historical_society_piano_01</x:v>
      </x:c>
      <x:c r="B21" s="17" t="str">
        <x:v>historical_society</x:v>
      </x:c>
      <x:c r="C21" s="17" t="str">
        <x:v>piano</x:v>
      </x:c>
      <x:c r="D21" s="17" t="str">
        <x:v>Piano</x:v>
      </x:c>
      <x:c r="E21" s="17" t="str">
        <x:v>detail</x:v>
      </x:c>
      <x:c r="F21" s="18" t="n">
        <x:v>1</x:v>
      </x:c>
      <x:c r="G21" s="16" t="str">
        <x:v>historical_society_piano_01_anchor</x:v>
      </x:c>
      <x:c r="H21" s="17" t="str">
        <x:v>true</x:v>
      </x:c>
      <x:c r="I21" s="17" t="str"/>
      <x:c r="J21" s="17" t="str"/>
    </x:row>
    <x:row r="22" ht="34" customHeight="1">
      <x:c r="A22" s="17" t="str">
        <x:v>historical_society_table_01</x:v>
      </x:c>
      <x:c r="B22" s="17" t="str">
        <x:v>historical_society</x:v>
      </x:c>
      <x:c r="C22" s="17" t="str">
        <x:v>table</x:v>
      </x:c>
      <x:c r="D22" s="17" t="str">
        <x:v>Billiards table</x:v>
      </x:c>
      <x:c r="E22" s="17" t="str">
        <x:v>detail</x:v>
      </x:c>
      <x:c r="F22" s="18" t="n">
        <x:v>1</x:v>
      </x:c>
      <x:c r="G22" s="16" t="str">
        <x:v>historical_society_table_01_anchor</x:v>
      </x:c>
      <x:c r="H22" s="17" t="str">
        <x:v>true</x:v>
      </x:c>
      <x:c r="I22" s="17" t="str"/>
      <x:c r="J22" s="17" t="str"/>
    </x:row>
    <x:row r="23" ht="34" customHeight="1">
      <x:c r="A23" s="17" t="str">
        <x:v>attic_timeline_01</x:v>
      </x:c>
      <x:c r="B23" s="17" t="str">
        <x:v>attic</x:v>
      </x:c>
      <x:c r="C23" s="17" t="str">
        <x:v>timeline</x:v>
      </x:c>
      <x:c r="D23" s="17" t="str">
        <x:v>Family Traces</x:v>
      </x:c>
      <x:c r="E23" s="17" t="str">
        <x:v>timeline</x:v>
      </x:c>
      <x:c r="F23" s="18" t="n">
        <x:v>1</x:v>
      </x:c>
      <x:c r="G23" s="16" t="str">
        <x:v>attic_timeline_01_anchor</x:v>
      </x:c>
      <x:c r="H23" s="17" t="str">
        <x:v>true</x:v>
      </x:c>
      <x:c r="I23" s="17" t="str"/>
      <x:c r="J23" s="17" t="str"/>
    </x:row>
    <x:row r="24" ht="44" customHeight="1">
      <x:c r="A24" s="17" t="str">
        <x:v>attic_trunk_01</x:v>
      </x:c>
      <x:c r="B24" s="17" t="str">
        <x:v>attic</x:v>
      </x:c>
      <x:c r="C24" s="17" t="str">
        <x:v>trunk</x:v>
      </x:c>
      <x:c r="D24" s="17" t="str">
        <x:v>Left open trunk</x:v>
      </x:c>
      <x:c r="E24" s="17" t="str">
        <x:v>collection</x:v>
      </x:c>
      <x:c r="F24" s="18" t="n">
        <x:v>8</x:v>
      </x:c>
      <x:c r="G24" s="16" t="str">
        <x:v>attic_trunk_01_anchor</x:v>
      </x:c>
      <x:c r="H24" s="17" t="str">
        <x:v>true</x:v>
      </x:c>
      <x:c r="I24" s="17" t="str">
        <x:v>Empty furnishing; unpublished until a supported content placement is assigned.</x:v>
      </x:c>
      <x:c r="J24" s="17" t="str"/>
    </x:row>
    <x:row r="25" ht="44" customHeight="1">
      <x:c r="A25" s="17" t="str">
        <x:v>attic_trunk_02</x:v>
      </x:c>
      <x:c r="B25" s="17" t="str">
        <x:v>attic</x:v>
      </x:c>
      <x:c r="C25" s="17" t="str">
        <x:v>trunk</x:v>
      </x:c>
      <x:c r="D25" s="17" t="str">
        <x:v>Right open trunk</x:v>
      </x:c>
      <x:c r="E25" s="17" t="str">
        <x:v>collection</x:v>
      </x:c>
      <x:c r="F25" s="18" t="n">
        <x:v>8</x:v>
      </x:c>
      <x:c r="G25" s="16" t="str">
        <x:v>attic_trunk_02_anchor</x:v>
      </x:c>
      <x:c r="H25" s="17" t="str">
        <x:v>true</x:v>
      </x:c>
      <x:c r="I25" s="17" t="str">
        <x:v>Empty furnishing; unpublished until a supported content placement is assigned.</x:v>
      </x:c>
      <x:c r="J25" s="17" t="str"/>
    </x:row>
    <x:row r="26" ht="44" customHeight="1">
      <x:c r="A26" s="17" t="str">
        <x:v>attic_shelves_01</x:v>
      </x:c>
      <x:c r="B26" s="17" t="str">
        <x:v>attic</x:v>
      </x:c>
      <x:c r="C26" s="17" t="str">
        <x:v>shelves</x:v>
      </x:c>
      <x:c r="D26" s="17" t="str">
        <x:v>Shelving</x:v>
      </x:c>
      <x:c r="E26" s="17" t="str">
        <x:v>collection</x:v>
      </x:c>
      <x:c r="F26" s="18" t="n">
        <x:v>8</x:v>
      </x:c>
      <x:c r="G26" s="16" t="str">
        <x:v>attic_shelves_01_anchor</x:v>
      </x:c>
      <x:c r="H26" s="17" t="str">
        <x:v>true</x:v>
      </x:c>
      <x:c r="I26" s="17" t="str">
        <x:v>Empty furnishing; unpublished until a supported content placement is assigned.</x:v>
      </x:c>
      <x:c r="J26" s="17" t="str"/>
    </x:row>
    <x:row r="27" ht="44" customHeight="1">
      <x:c r="A27" s="17" t="str">
        <x:v>attic_table_01</x:v>
      </x:c>
      <x:c r="B27" s="17" t="str">
        <x:v>attic</x:v>
      </x:c>
      <x:c r="C27" s="17" t="str">
        <x:v>table</x:v>
      </x:c>
      <x:c r="D27" s="17" t="str">
        <x:v>Research table</x:v>
      </x:c>
      <x:c r="E27" s="17" t="str">
        <x:v>collection</x:v>
      </x:c>
      <x:c r="F27" s="18" t="n">
        <x:v>8</x:v>
      </x:c>
      <x:c r="G27" s="16" t="str">
        <x:v>attic_table_01_anchor</x:v>
      </x:c>
      <x:c r="H27" s="17" t="str">
        <x:v>true</x:v>
      </x:c>
      <x:c r="I27" s="17" t="str">
        <x:v>Empty furnishing; unpublished until a supported content placement is assigned.</x:v>
      </x:c>
      <x:c r="J27" s="17" t="str"/>
    </x:row>
    <x:row r="28" ht="34" customHeight="1">
      <x:c r="A28" s="17" t="str">
        <x:v>natural_history_specimen_01</x:v>
      </x:c>
      <x:c r="B28" s="17" t="str">
        <x:v>natural_history</x:v>
      </x:c>
      <x:c r="C28" s="17" t="str">
        <x:v>specimen</x:v>
      </x:c>
      <x:c r="D28" s="17" t="str">
        <x:v>Tusk specimen</x:v>
      </x:c>
      <x:c r="E28" s="17" t="str">
        <x:v>detail</x:v>
      </x:c>
      <x:c r="F28" s="18" t="n">
        <x:v>1</x:v>
      </x:c>
      <x:c r="G28" s="16" t="str">
        <x:v>natural_history_specimen_01_anchor</x:v>
      </x:c>
      <x:c r="H28" s="17" t="str">
        <x:v>true</x:v>
      </x:c>
      <x:c r="I28" s="17" t="str"/>
      <x:c r="J28" s="17" t="str"/>
    </x:row>
    <x:row r="29" ht="34" customHeight="1">
      <x:c r="A29" s="17" t="str">
        <x:v>natural_history_specimen_01_label</x:v>
      </x:c>
      <x:c r="B29" s="17" t="str">
        <x:v>natural_history</x:v>
      </x:c>
      <x:c r="C29" s="17" t="str">
        <x:v>specimen</x:v>
      </x:c>
      <x:c r="D29" s="17" t="str">
        <x:v>Specimen label</x:v>
      </x:c>
      <x:c r="E29" s="17" t="str">
        <x:v>detail</x:v>
      </x:c>
      <x:c r="F29" s="18" t="n">
        <x:v>1</x:v>
      </x:c>
      <x:c r="G29" s="16" t="str">
        <x:v>natural_history_specimen_01_label_anchor</x:v>
      </x:c>
      <x:c r="H29" s="17" t="str">
        <x:v>true</x:v>
      </x:c>
      <x:c r="I29" s="17" t="str"/>
      <x:c r="J29" s="17" t="str"/>
    </x:row>
    <x:row r="30" ht="34" customHeight="1">
      <x:c r="A30" s="17" t="str">
        <x:v>natural_history_panel_01</x:v>
      </x:c>
      <x:c r="B30" s="17" t="str">
        <x:v>natural_history</x:v>
      </x:c>
      <x:c r="C30" s="17" t="str">
        <x:v>panel</x:v>
      </x:c>
      <x:c r="D30" s="17" t="str">
        <x:v>Elephant interpretation panel</x:v>
      </x:c>
      <x:c r="E30" s="17" t="str">
        <x:v>detail</x:v>
      </x:c>
      <x:c r="F30" s="18" t="n">
        <x:v>1</x:v>
      </x:c>
      <x:c r="G30" s="16" t="str">
        <x:v>natural_history_panel_01_anchor</x:v>
      </x:c>
      <x:c r="H30" s="17" t="str">
        <x:v>true</x:v>
      </x:c>
      <x:c r="I30" s="17" t="str"/>
      <x:c r="J30" s="17" t="str"/>
    </x:row>
    <x:row r="31" ht="44" customHeight="1">
      <x:c r="A31" s="17" t="str">
        <x:v>natural_history_panel_02</x:v>
      </x:c>
      <x:c r="B31" s="17" t="str">
        <x:v>natural_history</x:v>
      </x:c>
      <x:c r="C31" s="17" t="str">
        <x:v>panel</x:v>
      </x:c>
      <x:c r="D31" s="17" t="str">
        <x:v>Central recessed panel</x:v>
      </x:c>
      <x:c r="E31" s="17" t="str">
        <x:v>collection</x:v>
      </x:c>
      <x:c r="F31" s="18" t="n">
        <x:v>8</x:v>
      </x:c>
      <x:c r="G31" s="16" t="str">
        <x:v>natural_history_panel_02_anchor</x:v>
      </x:c>
      <x:c r="H31" s="17" t="str">
        <x:v>true</x:v>
      </x:c>
      <x:c r="I31" s="17" t="str">
        <x:v>Reserved empty panel; independent from the smaller chronology display below.</x:v>
      </x:c>
      <x:c r="J31" s="17" t="str"/>
    </x:row>
    <x:row r="32" ht="34" customHeight="1">
      <x:c r="A32" s="17" t="str">
        <x:v>natural_history_map_01</x:v>
      </x:c>
      <x:c r="B32" s="17" t="str">
        <x:v>natural_history</x:v>
      </x:c>
      <x:c r="C32" s="17" t="str">
        <x:v>map</x:v>
      </x:c>
      <x:c r="D32" s="17" t="str">
        <x:v>Wall map</x:v>
      </x:c>
      <x:c r="E32" s="17" t="str">
        <x:v>tool</x:v>
      </x:c>
      <x:c r="F32" s="18" t="n">
        <x:v>1</x:v>
      </x:c>
      <x:c r="G32" s="16" t="str">
        <x:v>natural_history_map_01_anchor</x:v>
      </x:c>
      <x:c r="H32" s="17" t="str">
        <x:v>true</x:v>
      </x:c>
      <x:c r="I32" s="17" t="str"/>
      <x:c r="J32" s="17" t="str"/>
    </x:row>
    <x:row r="33" ht="34" customHeight="1">
      <x:c r="A33" s="17" t="str">
        <x:v>natural_history_timeline_01</x:v>
      </x:c>
      <x:c r="B33" s="17" t="str">
        <x:v>natural_history</x:v>
      </x:c>
      <x:c r="C33" s="17" t="str">
        <x:v>timeline</x:v>
      </x:c>
      <x:c r="D33" s="17" t="str">
        <x:v>Deep-time explorer</x:v>
      </x:c>
      <x:c r="E33" s="17" t="str">
        <x:v>tool</x:v>
      </x:c>
      <x:c r="F33" s="18" t="n">
        <x:v>1</x:v>
      </x:c>
      <x:c r="G33" s="16" t="str">
        <x:v>natural_history_timeline_01_anchor</x:v>
      </x:c>
      <x:c r="H33" s="17" t="str">
        <x:v>true</x:v>
      </x:c>
      <x:c r="I33" s="17" t="str"/>
      <x:c r="J33" s="17" t="str"/>
    </x:row>
    <x:row r="34" ht="34" customHeight="1">
      <x:c r="A34" s="17" t="str">
        <x:v>natural_history_map_02</x:v>
      </x:c>
      <x:c r="B34" s="17" t="str">
        <x:v>natural_history</x:v>
      </x:c>
      <x:c r="C34" s="17" t="str">
        <x:v>map</x:v>
      </x:c>
      <x:c r="D34" s="17" t="str">
        <x:v>Habitation map within explorer</x:v>
      </x:c>
      <x:c r="E34" s="17" t="str">
        <x:v>tool</x:v>
      </x:c>
      <x:c r="F34" s="18" t="n">
        <x:v>1</x:v>
      </x:c>
      <x:c r="G34" s="16" t="str">
        <x:v>natural_history_map_02_anchor</x:v>
      </x:c>
      <x:c r="H34" s="17" t="str">
        <x:v>true</x:v>
      </x:c>
      <x:c r="I34" s="17" t="str"/>
      <x:c r="J34" s="17" t="str"/>
    </x:row>
    <x:row r="35" ht="34" customHeight="1">
      <x:c r="A35" s="17" t="str">
        <x:v>natural_history_timeline_02</x:v>
      </x:c>
      <x:c r="B35" s="17" t="str">
        <x:v>natural_history</x:v>
      </x:c>
      <x:c r="C35" s="17" t="str">
        <x:v>timeline</x:v>
      </x:c>
      <x:c r="D35" s="17" t="str">
        <x:v>Arrange the evidence</x:v>
      </x:c>
      <x:c r="E35" s="17" t="str">
        <x:v>timeline</x:v>
      </x:c>
      <x:c r="F35" s="18" t="n">
        <x:v>1</x:v>
      </x:c>
      <x:c r="G35" s="16" t="str">
        <x:v>natural_history_timeline_02_anchor</x:v>
      </x:c>
      <x:c r="H35" s="17" t="str">
        <x:v>true</x:v>
      </x:c>
      <x:c r="I35" s="17" t="str"/>
      <x:c r="J35" s="17" t="str"/>
    </x:row>
    <x:row r="36" ht="34" customHeight="1">
      <x:c r="A36" s="17" t="str">
        <x:v>natural_history_inquiry_01</x:v>
      </x:c>
      <x:c r="B36" s="17" t="str">
        <x:v>natural_history</x:v>
      </x:c>
      <x:c r="C36" s="17" t="str">
        <x:v>inquiry</x:v>
      </x:c>
      <x:c r="D36" s="17" t="str">
        <x:v>Ivory inquiry</x:v>
      </x:c>
      <x:c r="E36" s="17" t="str">
        <x:v>tool</x:v>
      </x:c>
      <x:c r="F36" s="18" t="n">
        <x:v>1</x:v>
      </x:c>
      <x:c r="G36" s="16" t="str">
        <x:v>natural_history_inquiry_01_anchor</x:v>
      </x:c>
      <x:c r="H36" s="17" t="str">
        <x:v>true</x:v>
      </x:c>
      <x:c r="I36" s="17" t="str"/>
      <x:c r="J36" s="17" t="str"/>
    </x:row>
    <x:row r="37" ht="34" customHeight="1">
      <x:c r="A37" s="17" t="str">
        <x:v>conservators_office_terminal_01</x:v>
      </x:c>
      <x:c r="B37" s="17" t="str">
        <x:v>conservators_office</x:v>
      </x:c>
      <x:c r="C37" s="17" t="str">
        <x:v>terminal</x:v>
      </x:c>
      <x:c r="D37" s="17" t="str">
        <x:v>Desk terminal</x:v>
      </x:c>
      <x:c r="E37" s="17" t="str">
        <x:v>tool</x:v>
      </x:c>
      <x:c r="F37" s="18" t="n">
        <x:v>1</x:v>
      </x:c>
      <x:c r="G37" s="16" t="str">
        <x:v>conservators_office_terminal_01_anchor</x:v>
      </x:c>
      <x:c r="H37" s="17" t="str">
        <x:v>true</x:v>
      </x:c>
      <x:c r="I37" s="17" t="str"/>
      <x:c r="J37" s="17" t="str"/>
    </x:row>
    <x:row r="38" ht="34" customHeight="1">
      <x:c r="A38" s="17" t="str">
        <x:v>conservators_office_shelves_01</x:v>
      </x:c>
      <x:c r="B38" s="17" t="str">
        <x:v>conservators_office</x:v>
      </x:c>
      <x:c r="C38" s="17" t="str">
        <x:v>shelves</x:v>
      </x:c>
      <x:c r="D38" s="17" t="str">
        <x:v>Left shelving</x:v>
      </x:c>
      <x:c r="E38" s="17" t="str">
        <x:v>collection</x:v>
      </x:c>
      <x:c r="F38" s="18" t="n">
        <x:v>8</x:v>
      </x:c>
      <x:c r="G38" s="16" t="str">
        <x:v>conservators_office_shelves_01_anchor</x:v>
      </x:c>
      <x:c r="H38" s="17" t="str">
        <x:v>true</x:v>
      </x:c>
      <x:c r="I38" s="17" t="str"/>
      <x:c r="J38" s="17" t="str"/>
    </x:row>
    <x:row r="39" ht="34" customHeight="1">
      <x:c r="A39" s="17" t="str">
        <x:v>conservators_office_shelves_02</x:v>
      </x:c>
      <x:c r="B39" s="17" t="str">
        <x:v>conservators_office</x:v>
      </x:c>
      <x:c r="C39" s="17" t="str">
        <x:v>shelves</x:v>
      </x:c>
      <x:c r="D39" s="17" t="str">
        <x:v>Rear shelving</x:v>
      </x:c>
      <x:c r="E39" s="17" t="str">
        <x:v>collection</x:v>
      </x:c>
      <x:c r="F39" s="18" t="n">
        <x:v>8</x:v>
      </x:c>
      <x:c r="G39" s="16" t="str">
        <x:v>conservators_office_shelves_02_anchor</x:v>
      </x:c>
      <x:c r="H39" s="17" t="str">
        <x:v>true</x:v>
      </x:c>
      <x:c r="I39" s="17" t="str"/>
      <x:c r="J39" s="17" t="str"/>
    </x:row>
    <x:row r="40" ht="34" customHeight="1">
      <x:c r="A40" s="17" t="str">
        <x:v>conservators_office_shelves_03</x:v>
      </x:c>
      <x:c r="B40" s="17" t="str">
        <x:v>conservators_office</x:v>
      </x:c>
      <x:c r="C40" s="17" t="str">
        <x:v>shelves</x:v>
      </x:c>
      <x:c r="D40" s="17" t="str">
        <x:v>Right shelving</x:v>
      </x:c>
      <x:c r="E40" s="17" t="str">
        <x:v>collection</x:v>
      </x:c>
      <x:c r="F40" s="18" t="n">
        <x:v>8</x:v>
      </x:c>
      <x:c r="G40" s="16" t="str">
        <x:v>conservators_office_shelves_03_anchor</x:v>
      </x:c>
      <x:c r="H40" s="17" t="str">
        <x:v>true</x:v>
      </x:c>
      <x:c r="I40" s="17" t="str"/>
      <x:c r="J40" s="17" t="str"/>
    </x:row>
    <x:row r="41" ht="34" customHeight="1">
      <x:c r="A41" s="17" t="str">
        <x:v>conservators_office_panel_01</x:v>
      </x:c>
      <x:c r="B41" s="17" t="str">
        <x:v>conservators_office</x:v>
      </x:c>
      <x:c r="C41" s="17" t="str">
        <x:v>panel</x:v>
      </x:c>
      <x:c r="D41" s="17" t="str">
        <x:v>Elephant wall panel</x:v>
      </x:c>
      <x:c r="E41" s="17" t="str">
        <x:v>detail</x:v>
      </x:c>
      <x:c r="F41" s="18" t="n">
        <x:v>1</x:v>
      </x:c>
      <x:c r="G41" s="16" t="str">
        <x:v>conservators_office_panel_01_anchor</x:v>
      </x:c>
      <x:c r="H41" s="17" t="str">
        <x:v>true</x:v>
      </x:c>
      <x:c r="I41" s="17" t="str"/>
      <x:c r="J41" s="17" t="str"/>
    </x:row>
    <x:row r="42" ht="44" customHeight="1">
      <x:c r="A42" s="17" t="str">
        <x:v>lab_bench_01</x:v>
      </x:c>
      <x:c r="B42" s="17" t="str">
        <x:v>lab</x:v>
      </x:c>
      <x:c r="C42" s="17" t="str">
        <x:v>bench</x:v>
      </x:c>
      <x:c r="D42" s="17" t="str">
        <x:v>Analysis bench</x:v>
      </x:c>
      <x:c r="E42" s="17" t="str">
        <x:v>collection</x:v>
      </x:c>
      <x:c r="F42" s="18" t="n">
        <x:v>8</x:v>
      </x:c>
      <x:c r="G42" s="16" t="str">
        <x:v>lab_bench_01_anchor</x:v>
      </x:c>
      <x:c r="H42" s="17" t="str">
        <x:v>true</x:v>
      </x:c>
      <x:c r="I42" s="17" t="str">
        <x:v>Baseline CSS furnishing; no illustrated replacement authorized as a redesign.</x:v>
      </x:c>
      <x:c r="J42" s="17" t="str"/>
    </x:row>
    <x:row r="43" ht="44" customHeight="1">
      <x:c r="A43" s="17" t="str">
        <x:v>lab_equipment_01</x:v>
      </x:c>
      <x:c r="B43" s="17" t="str">
        <x:v>lab</x:v>
      </x:c>
      <x:c r="C43" s="17" t="str">
        <x:v>equipment</x:v>
      </x:c>
      <x:c r="D43" s="17" t="str">
        <x:v>Equipment</x:v>
      </x:c>
      <x:c r="E43" s="17" t="str">
        <x:v>collection</x:v>
      </x:c>
      <x:c r="F43" s="18" t="n">
        <x:v>8</x:v>
      </x:c>
      <x:c r="G43" s="16" t="str">
        <x:v>lab_equipment_01_anchor</x:v>
      </x:c>
      <x:c r="H43" s="17" t="str">
        <x:v>true</x:v>
      </x:c>
      <x:c r="I43" s="17" t="str">
        <x:v>Baseline CSS furnishing; no illustrated replacement authorized as a redesign.</x:v>
      </x:c>
      <x:c r="J43" s="17" t="str"/>
    </x:row>
    <x:row r="44" ht="44" customHeight="1">
      <x:c r="A44" s="17" t="str">
        <x:v>lab_cabinet_01</x:v>
      </x:c>
      <x:c r="B44" s="17" t="str">
        <x:v>lab</x:v>
      </x:c>
      <x:c r="C44" s="17" t="str">
        <x:v>cabinet</x:v>
      </x:c>
      <x:c r="D44" s="17" t="str">
        <x:v>Left cabinet</x:v>
      </x:c>
      <x:c r="E44" s="17" t="str">
        <x:v>collection</x:v>
      </x:c>
      <x:c r="F44" s="18" t="n">
        <x:v>8</x:v>
      </x:c>
      <x:c r="G44" s="16" t="str">
        <x:v>lab_cabinet_01_anchor</x:v>
      </x:c>
      <x:c r="H44" s="17" t="str">
        <x:v>true</x:v>
      </x:c>
      <x:c r="I44" s="17" t="str">
        <x:v>Baseline CSS furnishing; no illustrated replacement authorized as a redesign.</x:v>
      </x:c>
      <x:c r="J44" s="17" t="str"/>
    </x:row>
    <x:row r="45" ht="44" customHeight="1">
      <x:c r="A45" s="17" t="str">
        <x:v>lab_cabinet_02</x:v>
      </x:c>
      <x:c r="B45" s="17" t="str">
        <x:v>lab</x:v>
      </x:c>
      <x:c r="C45" s="17" t="str">
        <x:v>cabinet</x:v>
      </x:c>
      <x:c r="D45" s="17" t="str">
        <x:v>Right cabinet</x:v>
      </x:c>
      <x:c r="E45" s="17" t="str">
        <x:v>collection</x:v>
      </x:c>
      <x:c r="F45" s="18" t="n">
        <x:v>8</x:v>
      </x:c>
      <x:c r="G45" s="16" t="str">
        <x:v>lab_cabinet_02_anchor</x:v>
      </x:c>
      <x:c r="H45" s="17" t="str">
        <x:v>true</x:v>
      </x:c>
      <x:c r="I45" s="17" t="str">
        <x:v>Baseline CSS furnishing; no illustrated replacement authorized as a redesign.</x:v>
      </x:c>
      <x:c r="J45" s="17" t="str"/>
    </x:row>
    <x:row r="46" ht="34" customHeight="1">
      <x:c r="A46" s="17" t="str">
        <x:v>lab_attic_context_01</x:v>
      </x:c>
      <x:c r="B46" s="17" t="str">
        <x:v>lab</x:v>
      </x:c>
      <x:c r="C46" s="17" t="str">
        <x:v>attic</x:v>
      </x:c>
      <x:c r="D46" s="17" t="str">
        <x:v>Attic access context</x:v>
      </x:c>
      <x:c r="E46" s="17" t="str">
        <x:v>tool</x:v>
      </x:c>
      <x:c r="F46" s="18" t="n">
        <x:v>1</x:v>
      </x:c>
      <x:c r="G46" s="16" t="str">
        <x:v>lab_attic_context_01_anchor</x:v>
      </x:c>
      <x:c r="H46" s="17" t="str">
        <x:v>true</x:v>
      </x:c>
      <x:c r="I46" s="17" t="str"/>
      <x:c r="J46" s="17" t="str"/>
    </x:row>
    <x:row r="47" ht="32" customHeight="1">
      <x:c r="A47" s="17"/>
      <x:c r="B47" s="17"/>
      <x:c r="C47" s="17"/>
      <x:c r="D47" s="17"/>
      <x:c r="E47" s="17"/>
      <x:c r="F47" s="18"/>
      <x:c r="G47" s="16"/>
      <x:c r="H47" s="17"/>
      <x:c r="I47" s="17"/>
      <x:c r="J47" s="17"/>
    </x:row>
    <x:row r="48" ht="32" customHeight="1">
      <x:c r="A48" s="17"/>
      <x:c r="B48" s="17"/>
      <x:c r="C48" s="17"/>
      <x:c r="D48" s="17"/>
      <x:c r="E48" s="17"/>
      <x:c r="F48" s="18"/>
      <x:c r="G48" s="16"/>
      <x:c r="H48" s="17"/>
      <x:c r="I48" s="17"/>
      <x:c r="J48" s="17"/>
    </x:row>
    <x:row r="49" ht="32" customHeight="1">
      <x:c r="A49" s="17"/>
      <x:c r="B49" s="17"/>
      <x:c r="C49" s="17"/>
      <x:c r="D49" s="17"/>
      <x:c r="E49" s="17"/>
      <x:c r="F49" s="18"/>
      <x:c r="G49" s="16"/>
      <x:c r="H49" s="17"/>
      <x:c r="I49" s="17"/>
      <x:c r="J49" s="17"/>
    </x:row>
    <x:row r="50" ht="32" customHeight="1">
      <x:c r="A50" s="17"/>
      <x:c r="B50" s="17"/>
      <x:c r="C50" s="17"/>
      <x:c r="D50" s="17"/>
      <x:c r="E50" s="17"/>
      <x:c r="F50" s="18"/>
      <x:c r="G50" s="16"/>
      <x:c r="H50" s="17"/>
      <x:c r="I50" s="17"/>
      <x:c r="J50" s="17"/>
    </x:row>
    <x:row r="51" ht="32" customHeight="1">
      <x:c r="A51" s="17"/>
      <x:c r="B51" s="17"/>
      <x:c r="C51" s="17"/>
      <x:c r="D51" s="17"/>
      <x:c r="E51" s="17"/>
      <x:c r="F51" s="18"/>
      <x:c r="G51" s="16"/>
      <x:c r="H51" s="17"/>
      <x:c r="I51" s="17"/>
      <x:c r="J51" s="17"/>
    </x:row>
    <x:row r="52" ht="32" customHeight="1">
      <x:c r="A52" s="17"/>
      <x:c r="B52" s="17"/>
      <x:c r="C52" s="17"/>
      <x:c r="D52" s="17"/>
      <x:c r="E52" s="17"/>
      <x:c r="F52" s="18"/>
      <x:c r="G52" s="16"/>
      <x:c r="H52" s="17"/>
      <x:c r="I52" s="17"/>
      <x:c r="J52" s="17"/>
    </x:row>
    <x:row r="53" ht="32" customHeight="1">
      <x:c r="A53" s="17"/>
      <x:c r="B53" s="17"/>
      <x:c r="C53" s="17"/>
      <x:c r="D53" s="17"/>
      <x:c r="E53" s="17"/>
      <x:c r="F53" s="18"/>
      <x:c r="G53" s="16"/>
      <x:c r="H53" s="17"/>
      <x:c r="I53" s="17"/>
      <x:c r="J53" s="17"/>
    </x:row>
    <x:row r="54" ht="32" customHeight="1">
      <x:c r="A54" s="17"/>
      <x:c r="B54" s="17"/>
      <x:c r="C54" s="17"/>
      <x:c r="D54" s="17"/>
      <x:c r="E54" s="17"/>
      <x:c r="F54" s="18"/>
      <x:c r="G54" s="16"/>
      <x:c r="H54" s="17"/>
      <x:c r="I54" s="17"/>
      <x:c r="J54" s="17"/>
    </x:row>
    <x:row r="55" ht="32" customHeight="1">
      <x:c r="A55" s="17"/>
      <x:c r="B55" s="17"/>
      <x:c r="C55" s="17"/>
      <x:c r="D55" s="17"/>
      <x:c r="E55" s="17"/>
      <x:c r="F55" s="18"/>
      <x:c r="G55" s="16"/>
      <x:c r="H55" s="17"/>
      <x:c r="I55" s="17"/>
      <x:c r="J55" s="17"/>
    </x:row>
    <x:row r="56" ht="32" customHeight="1">
      <x:c r="A56" s="17"/>
      <x:c r="B56" s="17"/>
      <x:c r="C56" s="17"/>
      <x:c r="D56" s="17"/>
      <x:c r="E56" s="17"/>
      <x:c r="F56" s="18"/>
      <x:c r="G56" s="16"/>
      <x:c r="H56" s="17"/>
      <x:c r="I56" s="17"/>
      <x:c r="J56" s="17"/>
    </x:row>
    <x:row r="57" ht="32" customHeight="1">
      <x:c r="A57" s="17"/>
      <x:c r="B57" s="17"/>
      <x:c r="C57" s="17"/>
      <x:c r="D57" s="17"/>
      <x:c r="E57" s="17"/>
      <x:c r="F57" s="18"/>
      <x:c r="G57" s="16"/>
      <x:c r="H57" s="17"/>
      <x:c r="I57" s="17"/>
      <x:c r="J57" s="17"/>
    </x:row>
    <x:row r="58" ht="32" customHeight="1">
      <x:c r="A58" s="17"/>
      <x:c r="B58" s="17"/>
      <x:c r="C58" s="17"/>
      <x:c r="D58" s="17"/>
      <x:c r="E58" s="17"/>
      <x:c r="F58" s="18"/>
      <x:c r="G58" s="16"/>
      <x:c r="H58" s="17"/>
      <x:c r="I58" s="17"/>
      <x:c r="J58" s="17"/>
    </x:row>
    <x:row r="59" ht="32" customHeight="1">
      <x:c r="A59" s="17"/>
      <x:c r="B59" s="17"/>
      <x:c r="C59" s="17"/>
      <x:c r="D59" s="17"/>
      <x:c r="E59" s="17"/>
      <x:c r="F59" s="18"/>
      <x:c r="G59" s="16"/>
      <x:c r="H59" s="17"/>
      <x:c r="I59" s="17"/>
      <x:c r="J59" s="17"/>
    </x:row>
    <x:row r="60" ht="32" customHeight="1">
      <x:c r="A60" s="17"/>
      <x:c r="B60" s="17"/>
      <x:c r="C60" s="17"/>
      <x:c r="D60" s="17"/>
      <x:c r="E60" s="17"/>
      <x:c r="F60" s="18"/>
      <x:c r="G60" s="16"/>
      <x:c r="H60" s="17"/>
      <x:c r="I60" s="17"/>
      <x:c r="J60" s="17"/>
    </x:row>
    <x:row r="61" ht="32" customHeight="1">
      <x:c r="A61" s="17"/>
      <x:c r="B61" s="17"/>
      <x:c r="C61" s="17"/>
      <x:c r="D61" s="17"/>
      <x:c r="E61" s="17"/>
      <x:c r="F61" s="18"/>
      <x:c r="G61" s="16"/>
      <x:c r="H61" s="17"/>
      <x:c r="I61" s="17"/>
      <x:c r="J61" s="17"/>
    </x:row>
  </x:sheetData>
  <x:dataValidations count="2">
    <x:dataValidation type="list" sqref="H2:H501">
      <x:formula1>"true,false"</x:formula1>
    </x:dataValidation>
    <x:dataValidation type="list" sqref="E2:E501">
      <x:formula1>"detail,tool,inline,collection,timeline"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c4edf946dd41d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  <x:col min="5" max="5" width="28" hidden="0" customWidth="1"/>
    <x:col min="6" max="6" width="76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60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</x:cols>
  <x:sheetData>
    <x:row r="1" ht="42" customHeight="1">
      <x:c r="A1" s="10" t="str">
        <x:v>objectid</x:v>
      </x:c>
      <x:c r="B1" s="10" t="str">
        <x:v>parentid</x:v>
      </x:c>
      <x:c r="C1" s="10" t="str">
        <x:v>title</x:v>
      </x:c>
      <x:c r="D1" s="10" t="str">
        <x:v>creator</x:v>
      </x:c>
      <x:c r="E1" s="10" t="str">
        <x:v>date</x:v>
      </x:c>
      <x:c r="F1" s="10" t="str">
        <x:v>description</x:v>
      </x:c>
      <x:c r="G1" s="10" t="str">
        <x:v>subject</x:v>
      </x:c>
      <x:c r="H1" s="10" t="str">
        <x:v>location</x:v>
      </x:c>
      <x:c r="I1" s="22" t="str">
        <x:v>latitude</x:v>
      </x:c>
      <x:c r="J1" s="22" t="str">
        <x:v>longitude</x:v>
      </x:c>
      <x:c r="K1" s="10" t="str">
        <x:v>source</x:v>
      </x:c>
      <x:c r="L1" s="10" t="str">
        <x:v>identifier</x:v>
      </x:c>
      <x:c r="M1" s="10" t="str">
        <x:v>type</x:v>
      </x:c>
      <x:c r="N1" s="10" t="str">
        <x:v>format</x:v>
      </x:c>
      <x:c r="O1" s="10" t="str">
        <x:v>language</x:v>
      </x:c>
      <x:c r="P1" s="10" t="str">
        <x:v>rights</x:v>
      </x:c>
      <x:c r="Q1" s="10" t="str">
        <x:v>rightsstatement</x:v>
      </x:c>
      <x:c r="R1" s="10" t="str">
        <x:v>display_template</x:v>
      </x:c>
      <x:c r="S1" s="10" t="str">
        <x:v>object_location</x:v>
      </x:c>
      <x:c r="T1" s="10" t="str">
        <x:v>image_small</x:v>
      </x:c>
      <x:c r="U1" s="10" t="str">
        <x:v>image_thumb</x:v>
      </x:c>
      <x:c r="V1" s="10" t="str">
        <x:v>image_alt_text</x:v>
      </x:c>
      <x:c r="W1" s="10" t="str">
        <x:v>object_transcript</x:v>
      </x:c>
    </x:row>
    <x:row r="2" ht="60" customHeight="1">
      <x:c r="A2" s="12" t="str">
        <x:v>ChineseUVIvoryCollection</x:v>
      </x:c>
      <x:c r="B2" s="12" t="str"/>
      <x:c r="C2" s="12" t="str">
        <x:v>ChineseUVIvoryCollection</x:v>
      </x:c>
      <x:c r="D2" s="12" t="str">
        <x:v>William Lowe Bryan</x:v>
      </x:c>
      <x:c r="E2" s="12" t="str">
        <x:v>late 19th century or 16th century (Qing Era)</x:v>
      </x:c>
      <x:c r="F2" s="12" t="str">
        <x:v>This set of ivories were part of former IU President William Lowe Bryan's collection. DNA analysis indicates that these items come from a mix of both African and Asian elephants.</x:v>
      </x:c>
      <x:c r="G2" s="12" t="str">
        <x:v>Eastern</x:v>
      </x:c>
      <x:c r="H2" s="12" t="str">
        <x:v>Bloomington, Indiana</x:v>
      </x:c>
      <x:c r="I2" s="23" t="n">
        <x:v>39.1653</x:v>
      </x:c>
      <x:c r="J2" s="23" t="n">
        <x:v>-86.5264</x:v>
      </x:c>
      <x:c r="K2" s="12" t="str"/>
      <x:c r="L2" s="12" t="str"/>
      <x:c r="M2" s="12" t="str"/>
      <x:c r="N2" s="12" t="str">
        <x:v>Image;StillImage</x:v>
      </x:c>
      <x:c r="O2" s="12" t="str">
        <x:v>image/jpeg</x:v>
      </x:c>
      <x:c r="P2" s="12" t="str">
        <x:v>eng</x:v>
      </x:c>
      <x:c r="Q2" s="12" t="str"/>
      <x:c r="R2" s="12" t="str"/>
      <x:c r="S2" s="12" t="str"/>
      <x:c r="T2" s="12" t="str">
        <x:v>objects/ChineseIvories_EXAM2UV.JPG</x:v>
      </x:c>
      <x:c r="U2" s="12" t="str">
        <x:v>objects/small/ChineseIvories_EXAM2UV_sm.jpg</x:v>
      </x:c>
      <x:c r="V2" s="12" t="str">
        <x:v>objects/thumbs/ChineseIvories_EXAM2UV_th.jpg</x:v>
      </x:c>
      <x:c r="W2" s="12" t="str">
        <x:v>Chinese ivory standing figures from the Bryan collection.</x:v>
      </x:c>
    </x:row>
    <x:row r="3" ht="32" customHeight="1">
      <x:c r="A3" s="12"/>
      <x:c r="B3" s="12"/>
      <x:c r="C3" s="12"/>
      <x:c r="D3" s="12"/>
      <x:c r="E3" s="12"/>
      <x:c r="F3" s="12"/>
      <x:c r="G3" s="12"/>
      <x:c r="H3" s="12"/>
      <x:c r="I3" s="23"/>
      <x:c r="J3" s="23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</x:row>
    <x:row r="4" ht="32" customHeight="1">
      <x:c r="A4" s="12"/>
      <x:c r="B4" s="12"/>
      <x:c r="C4" s="12"/>
      <x:c r="D4" s="12"/>
      <x:c r="E4" s="12"/>
      <x:c r="F4" s="12"/>
      <x:c r="G4" s="12"/>
      <x:c r="H4" s="12"/>
      <x:c r="I4" s="23"/>
      <x:c r="J4" s="23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</x:row>
    <x:row r="5" ht="32" customHeight="1">
      <x:c r="A5" s="12"/>
      <x:c r="B5" s="12"/>
      <x:c r="C5" s="12"/>
      <x:c r="D5" s="12"/>
      <x:c r="E5" s="12"/>
      <x:c r="F5" s="12"/>
      <x:c r="G5" s="12"/>
      <x:c r="H5" s="12"/>
      <x:c r="I5" s="23"/>
      <x:c r="J5" s="23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</x:row>
    <x:row r="6" ht="32" customHeight="1">
      <x:c r="A6" s="12"/>
      <x:c r="B6" s="12"/>
      <x:c r="C6" s="12"/>
      <x:c r="D6" s="12"/>
      <x:c r="E6" s="12"/>
      <x:c r="F6" s="12"/>
      <x:c r="G6" s="12"/>
      <x:c r="H6" s="12"/>
      <x:c r="I6" s="23"/>
      <x:c r="J6" s="23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</x:row>
    <x:row r="7" ht="32" customHeight="1">
      <x:c r="A7" s="12"/>
      <x:c r="B7" s="12"/>
      <x:c r="C7" s="12"/>
      <x:c r="D7" s="12"/>
      <x:c r="E7" s="12"/>
      <x:c r="F7" s="12"/>
      <x:c r="G7" s="12"/>
      <x:c r="H7" s="12"/>
      <x:c r="I7" s="23"/>
      <x:c r="J7" s="23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</x:row>
    <x:row r="8" ht="32" customHeight="1">
      <x:c r="A8" s="12"/>
      <x:c r="B8" s="12"/>
      <x:c r="C8" s="12"/>
      <x:c r="D8" s="12"/>
      <x:c r="E8" s="12"/>
      <x:c r="F8" s="12"/>
      <x:c r="G8" s="12"/>
      <x:c r="H8" s="12"/>
      <x:c r="I8" s="23"/>
      <x:c r="J8" s="23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</x:row>
    <x:row r="9" ht="32" customHeight="1">
      <x:c r="A9" s="12"/>
      <x:c r="B9" s="12"/>
      <x:c r="C9" s="12"/>
      <x:c r="D9" s="12"/>
      <x:c r="E9" s="12"/>
      <x:c r="F9" s="12"/>
      <x:c r="G9" s="12"/>
      <x:c r="H9" s="12"/>
      <x:c r="I9" s="23"/>
      <x:c r="J9" s="23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</x:row>
    <x:row r="10" ht="32" customHeight="1">
      <x:c r="A10" s="12"/>
      <x:c r="B10" s="12"/>
      <x:c r="C10" s="12"/>
      <x:c r="D10" s="12"/>
      <x:c r="E10" s="12"/>
      <x:c r="F10" s="12"/>
      <x:c r="G10" s="12"/>
      <x:c r="H10" s="12"/>
      <x:c r="I10" s="23"/>
      <x:c r="J10" s="23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</x:row>
    <x:row r="11" ht="32" customHeight="1">
      <x:c r="A11" s="12"/>
      <x:c r="B11" s="12"/>
      <x:c r="C11" s="12"/>
      <x:c r="D11" s="12"/>
      <x:c r="E11" s="12"/>
      <x:c r="F11" s="12"/>
      <x:c r="G11" s="12"/>
      <x:c r="H11" s="12"/>
      <x:c r="I11" s="23"/>
      <x:c r="J11" s="23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</x:row>
    <x:row r="12" ht="32" customHeight="1">
      <x:c r="A12" s="12"/>
      <x:c r="B12" s="12"/>
      <x:c r="C12" s="12"/>
      <x:c r="D12" s="12"/>
      <x:c r="E12" s="12"/>
      <x:c r="F12" s="12"/>
      <x:c r="G12" s="12"/>
      <x:c r="H12" s="12"/>
      <x:c r="I12" s="23"/>
      <x:c r="J12" s="23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</x:row>
    <x:row r="13" ht="32" customHeight="1">
      <x:c r="A13" s="12"/>
      <x:c r="B13" s="12"/>
      <x:c r="C13" s="12"/>
      <x:c r="D13" s="12"/>
      <x:c r="E13" s="12"/>
      <x:c r="F13" s="12"/>
      <x:c r="G13" s="12"/>
      <x:c r="H13" s="12"/>
      <x:c r="I13" s="23"/>
      <x:c r="J13" s="23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</x:row>
    <x:row r="14" ht="32" customHeight="1">
      <x:c r="A14" s="12"/>
      <x:c r="B14" s="12"/>
      <x:c r="C14" s="12"/>
      <x:c r="D14" s="12"/>
      <x:c r="E14" s="12"/>
      <x:c r="F14" s="12"/>
      <x:c r="G14" s="12"/>
      <x:c r="H14" s="12"/>
      <x:c r="I14" s="23"/>
      <x:c r="J14" s="23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</x:row>
    <x:row r="15" ht="32" customHeight="1">
      <x:c r="A15" s="12"/>
      <x:c r="B15" s="12"/>
      <x:c r="C15" s="12"/>
      <x:c r="D15" s="12"/>
      <x:c r="E15" s="12"/>
      <x:c r="F15" s="12"/>
      <x:c r="G15" s="12"/>
      <x:c r="H15" s="12"/>
      <x:c r="I15" s="23"/>
      <x:c r="J15" s="23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</x:row>
    <x:row r="16" ht="32" customHeight="1">
      <x:c r="A16" s="12"/>
      <x:c r="B16" s="12"/>
      <x:c r="C16" s="12"/>
      <x:c r="D16" s="12"/>
      <x:c r="E16" s="12"/>
      <x:c r="F16" s="12"/>
      <x:c r="G16" s="12"/>
      <x:c r="H16" s="12"/>
      <x:c r="I16" s="23"/>
      <x:c r="J16" s="23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</x:row>
    <x:row r="17" ht="32" customHeight="1">
      <x:c r="A17" s="12"/>
      <x:c r="B17" s="12"/>
      <x:c r="C17" s="12"/>
      <x:c r="D17" s="12"/>
      <x:c r="E17" s="12"/>
      <x:c r="F17" s="12"/>
      <x:c r="G17" s="12"/>
      <x:c r="H17" s="12"/>
      <x:c r="I17" s="23"/>
      <x:c r="J17" s="23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</x:row>
  </x:sheetData>
  <x:pageMargins left="0.7" right="0.7" top="0.75" bottom="0.75" header="0.3" footer="0.3"/>
  <x:tableParts count="1">
    <x:tablePart xmlns:r="http://schemas.openxmlformats.org/officeDocument/2006/relationships" r:id="Rdb3a29f3290d42a7"/>
  </x:tableParts>
</x:worksheet>
</file>

<file path=xl/worksheets/sheet8.xml><?xml version="1.0" encoding="utf-8"?>
<x:worksheet xmlns:x="http://schemas.openxmlformats.org/spreadsheetml/2006/main">
  <x:sheetPr>
    <x:tabColor rgb="FFB5B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15" hidden="0" customWidth="1"/>
  </x:cols>
  <x:sheetData>
    <x:row r="1" ht="58" customHeight="1">
      <x:c r="A1" s="25" t="str">
        <x:v>ArchIvory editorial workbook</x:v>
      </x:c>
      <x:c r="B1" s="25" t="str">
        <x:v>Team editing copy of the current website data.</x:v>
      </x:c>
    </x:row>
    <x:row r="2" ht="58" customHeight="1">
      <x:c r="A2" s="24" t="str">
        <x:v>1. Start here</x:v>
      </x:c>
      <x:c r="B2" s="24" t="str">
        <x:v>Use this Guide, then work in Content, Placements, Timelines, and Events. Pale amber cells are editable; gray cells are references or calculated context. Do not rename sheets or header rows.</x:v>
      </x:c>
    </x:row>
    <x:row r="3" ht="58" customHeight="1">
      <x:c r="A3" s="24" t="str">
        <x:v>2. Add material</x:v>
      </x:c>
      <x:c r="B3" s="24" t="str">
        <x:v>Content: create a new stable content_id only for a new record. Title, description, and content_type are required. Image and citation are optional but recommended for research.</x:v>
      </x:c>
    </x:row>
    <x:row r="4" ht="58" customHeight="1">
      <x:c r="A4" s="24" t="str">
        <x:v>3. Choose a location</x:v>
      </x:c>
      <x:c r="B4" s="24" t="str">
        <x:v>Placements: choose a slot_id from the dropdown. The workbook fills Room ID, Room name, Location, Supported type, and Capacity automatically. Do not type a room separately: the slot defines the room.</x:v>
      </x:c>
    </x:row>
    <x:row r="5" ht="58" customHeight="1">
      <x:c r="A5" s="24" t="str">
        <x:v>4. Assign content</x:v>
      </x:c>
      <x:c r="B5" s="24" t="str">
        <x:v>Choose content_id from the dropdown after selecting content_type. A timeline placement uses Timelines; other placements use Content. Keep placement_id unique.</x:v>
      </x:c>
    </x:row>
    <x:row r="6" ht="58" customHeight="1">
      <x:c r="A6" s="24" t="str">
        <x:v>5. Set presentation</x:v>
      </x:c>
      <x:c r="B6" s="24" t="str">
        <x:v>content_type must match the item and slot. Use sort_order 1, 2, 3... for multiple records in one collection location. Do not reuse the same active sort order or content in one slot.</x:v>
      </x:c>
    </x:row>
    <x:row r="7" ht="58" customHeight="1">
      <x:c r="A7" s="24" t="str">
        <x:v>6. Publish clearly</x:v>
      </x:c>
      <x:c r="B7" s="24" t="str">
        <x:v>published=true makes the placement visible on the site; published=false keeps it hidden. An empty unpublished draft row is a workbook prompt, not a site record.</x:v>
      </x:c>
    </x:row>
    <x:row r="8" ht="58" customHeight="1">
      <x:c r="A8" s="24" t="str">
        <x:v>Empty locations</x:v>
      </x:c>
      <x:c r="B8" s="24" t="str">
        <x:v>Pre-filled draft rows have no content and published=false. They do not create website records until you assign content.</x:v>
      </x:c>
    </x:row>
    <x:row r="9" ht="58" customHeight="1">
      <x:c r="A9" s="24" t="str">
        <x:v>Same item in two rooms</x:v>
      </x:c>
      <x:c r="B9" s="24" t="str">
        <x:v>Add a second placement with a new placement_id and the same content_id. Do not duplicate the material record.</x:v>
      </x:c>
    </x:row>
    <x:row r="10" ht="58" customHeight="1">
      <x:c r="A10" s="24" t="str">
        <x:v>Timeline editing</x:v>
      </x:c>
      <x:c r="B10" s="24" t="str">
        <x:v>Timelines contains the activity introduction and success text. Events contains at least two events per timeline. sortKey is numeric ordering; displayedDate is visitor-facing text. Equal sortKey values intentionally accept either order.</x:v>
      </x:c>
    </x:row>
    <x:row r="11" ht="58" customHeight="1">
      <x:c r="A11" s="24" t="str">
        <x:v>Existing collection</x:v>
      </x:c>
      <x:c r="B11" s="24" t="str">
        <x:v>Collection is the original museum metadata. ChineseUVIvoryCollection draws its description from this sheet. Preserve its exact objectid.</x:v>
      </x:c>
    </x:row>
    <x:row r="12" ht="58" customHeight="1">
      <x:c r="A12" s="24" t="str">
        <x:v>Existing adapters</x:v>
      </x:c>
      <x:c r="B12" s="24" t="str">
        <x:v>Gray adapter fields preserve existing dialogs and tools. Their built-in text is still in room pages. Content text changes affect ordinary blank-adapter items; legacy dialog copy needs a separate migration.</x:v>
      </x:c>
    </x:row>
    <x:row r="13" ht="58" customHeight="1">
      <x:c r="A13" s="24" t="str">
        <x:v>Prepared locations</x:v>
      </x:c>
      <x:c r="B13" s="24" t="str">
        <x:v>Slots lists all 45 validated access points with a human-readable editor_label, room, capacity, type, physical notes, and anchor reference. Keep IDs, anchors, routes, and assets stable. New physical locations require matching geometry and are outside this workbook workflow.</x:v>
      </x:c>
    </x:row>
    <x:row r="14" ht="58" customHeight="1">
      <x:c r="A14" s="24" t="str">
        <x:v>Images</x:v>
      </x:c>
      <x:c r="B14" s="24" t="str">
        <x:v>Use a site path such as /assets/img/example.jpg or an HTTPS image URL. In the shared Teams workflow, enter a simple PNG/JPG filename and upload that file to the adjacent Images folder. A local computer path does not upload an image.</x:v>
      </x:c>
    </x:row>
    <x:row r="15" ht="58" customHeight="1">
      <x:c r="A15" s="24" t="str">
        <x:v>Citations and links</x:v>
      </x:c>
      <x:c r="B15" s="24" t="str">
        <x:v>Use citation for a source or credit, not private notes. Use HTTPS or a repository/site path where appropriate. Check that the citation supports the wording before publishing.</x:v>
      </x:c>
    </x:row>
    <x:row r="16" ht="58" customHeight="1">
      <x:c r="A16" s="24" t="str">
        <x:v>Warnings</x:v>
      </x:c>
      <x:c r="B16" s="24" t="str">
        <x:v>Red cells indicate a likely invalid or conflicting entry. Run workbook.py check before sharing the workbook; it rejects unknown slots, duplicate IDs, incompatible types, missing required values, disabled targets, duplicate active ordering, and broken timeline references.</x:v>
      </x:c>
    </x:row>
    <x:row r="17" ht="58" customHeight="1">
      <x:c r="A17" s="24" t="str">
        <x:v>Colors</x:v>
      </x:c>
      <x:c r="B17" s="24" t="str">
        <x:v>Pale amber: editorial inputs. Gray: reference or calculated values. Dark amber: an empty content assignment.</x:v>
      </x:c>
    </x:row>
    <x:row r="18" ht="58" customHeight="1">
      <x:c r="A18" s="24" t="str">
        <x:v>Preserve structure</x:v>
      </x:c>
      <x:c r="B18" s="24" t="str">
        <x:v>Keep sheet names and the original header row. Add records in the tables. Never reuse an existing ID for a different record.</x:v>
      </x:c>
    </x:row>
    <x:row r="19" ht="58" customHeight="1">
      <x:c r="A19" s="24" t="str">
        <x:v>Draft material</x:v>
      </x:c>
      <x:c r="B19" s="24" t="str">
        <x:v>Existing teaching examples and placeholder notices are carried over unchanged. Your team supplies replacements.</x:v>
      </x:c>
    </x:row>
    <x:row r="20" ht="58" customHeight="1">
      <x:c r="A20" s="24" t="str">
        <x:v>Import process</x:v>
      </x:c>
      <x:c r="B20" s="24" t="str">
        <x:v>Run the check command described in README.md. Apply writes the website CSVs with a backup. Rebuild and inspect locally before any publishing.</x:v>
      </x:c>
    </x:row>
    <x:row r="21" ht="58" customHeight="1">
      <x:c r="A21" s="24" t="str">
        <x:v>Sharing</x:v>
      </x:c>
      <x:c r="B21" s="24" t="str">
        <x:v>Share this .xlsx in Excel or a shared drive. Return the edited .xlsx for validation and import. The site does not read the workbook live.</x:v>
      </x:c>
    </x:row>
    <x:row r="22" ht="58" customHeight="1">
      <x:c r="A22" s="24" t="str">
        <x:v>Source snapshots</x:v>
      </x:c>
      <x:c r="B22" s="24" t="str">
        <x:v>The hashes below prevent importing over source data changed after this workbook was created. Do not edit these cells.</x:v>
      </x:c>
    </x:row>
    <x:row r="23" ht="58" customHeight="1">
      <x:c r="A23" s="24" t="str">
        <x:v>_data/placements.csv</x:v>
      </x:c>
      <x:c r="B23" s="24" t="str">
        <x:v>fbca8d56f9e71f2c0692f7e800b0bc75ba10af0e9498432551789a039715cc6f</x:v>
      </x:c>
    </x:row>
    <x:row r="24" ht="58" customHeight="1">
      <x:c r="A24" s="24" t="str">
        <x:v>_data/room_content.csv</x:v>
      </x:c>
      <x:c r="B24" s="24" t="str">
        <x:v>fed299761ab52e9c4c50988789cf740082a9035d97745f7e2a879f57c08a6763</x:v>
      </x:c>
    </x:row>
    <x:row r="25" ht="58" customHeight="1">
      <x:c r="A25" s="24" t="str">
        <x:v>_data/timeline_events.csv</x:v>
      </x:c>
      <x:c r="B25" s="24" t="str">
        <x:v>1e783da63ae487794669258fcdc30342bf647796258d2fdd28d134c54f88f722</x:v>
      </x:c>
    </x:row>
    <x:row r="26" ht="58" customHeight="1">
      <x:c r="A26" s="24" t="str">
        <x:v>_data/room_timelines.csv</x:v>
      </x:c>
      <x:c r="B26" s="24" t="str">
        <x:v>24dc2020209d20195d39ff7fd7497d560db9f86e846752d8d3ccbd90c428722c</x:v>
      </x:c>
    </x:row>
    <x:row r="27" ht="58" customHeight="1">
      <x:c r="A27" s="24" t="str">
        <x:v>_data/rooms.csv</x:v>
      </x:c>
      <x:c r="B27" s="24" t="str">
        <x:v>8614c904f8ec00274a1b8c7198e5910f350e761c0cdf5203cb48afce61557b35</x:v>
      </x:c>
    </x:row>
    <x:row r="28" ht="58" customHeight="1">
      <x:c r="A28" s="24" t="str">
        <x:v>_data/exhibit_slots.csv</x:v>
      </x:c>
      <x:c r="B28" s="24" t="str">
        <x:v>61f0da63b21935f1116ed34da3e824716b98af51a209f83c7bd993fbc99aae02</x:v>
      </x:c>
    </x:row>
    <x:row r="29" ht="58" customHeight="1">
      <x:c r="A29" s="24" t="str">
        <x:v>_data/demo-metadata.csv</x:v>
      </x:c>
      <x:c r="B29" s="24" t="str">
        <x:v>2e46b740c50d02d3a29a3f0da94d21ad77f4c8a800d9106c3fc64b631c107af1</x:v>
      </x:c>
    </x:row>
  </x:sheetData>
  <x:pageMargins left="0.7" right="0.7" top="0.75" bottom="0.75" header="0.3" footer="0.3"/>
</x:worksheet>
</file>
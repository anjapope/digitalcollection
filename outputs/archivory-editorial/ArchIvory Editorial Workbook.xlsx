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4d95362ac644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ce635eccc2294b74"/>
    <x:sheet xmlns:r="http://schemas.openxmlformats.org/officeDocument/2006/relationships" name="Content" sheetId="2" r:id="Ree1a7c86f3c145b7"/>
    <x:sheet xmlns:r="http://schemas.openxmlformats.org/officeDocument/2006/relationships" name="Events" sheetId="3" r:id="R6e09b83a1bd74e83"/>
    <x:sheet xmlns:r="http://schemas.openxmlformats.org/officeDocument/2006/relationships" name="Timelines" sheetId="4" r:id="Rec883b2a242145f1"/>
    <x:sheet xmlns:r="http://schemas.openxmlformats.org/officeDocument/2006/relationships" name="Rooms" sheetId="5" r:id="R1c24cd4245084470"/>
    <x:sheet xmlns:r="http://schemas.openxmlformats.org/officeDocument/2006/relationships" name="Slots" sheetId="6" r:id="R9c3dcad3cdbe4404"/>
    <x:sheet xmlns:r="http://schemas.openxmlformats.org/officeDocument/2006/relationships" name="Collection" sheetId="7" r:id="Re9799fc4f9fe494a"/>
    <x:sheet xmlns:r="http://schemas.openxmlformats.org/officeDocument/2006/relationships" name="Guide" sheetId="8" r:id="R441e68790cab4e1d"/>
    <x:sheet xmlns:r="http://schemas.openxmlformats.org/officeDocument/2006/relationships" name="Edit Items" sheetId="9" r:id="R9bcae7e9267d425b"/>
    <x:sheet xmlns:r="http://schemas.openxmlformats.org/officeDocument/2006/relationships" name="Timeline Cards" sheetId="10" r:id="R525c412c544e4a0b"/>
    <x:sheet xmlns:r="http://schemas.openxmlformats.org/officeDocument/2006/relationships" name="Room Overview" sheetId="11" r:id="Re4747086bdf34ed6"/>
    <x:sheet xmlns:r="http://schemas.openxmlformats.org/officeDocument/2006/relationships" name="Publishing" sheetId="12" r:id="R9e447ab9dc7642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6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  <x:font>
      <x:b/>
      <x:sz val="13"/>
      <x:color rgb="FFFFFFFF"/>
      <x:name val="Arial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  <x:fill>
      <x:patternFill patternType="solid">
        <x:fgColor rgb="FF806238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c2ce1efba64085" /><Relationship Type="http://schemas.openxmlformats.org/officeDocument/2006/relationships/theme" Target="/xl/theme/theme1.xml" Id="R6ce73547e6c34f93" /><Relationship Type="http://schemas.openxmlformats.org/officeDocument/2006/relationships/sharedStrings" Target="/xl/sharedStrings.xml" Id="R3918d5cb2ced4fb9" /><Relationship Type="http://schemas.openxmlformats.org/officeDocument/2006/relationships/worksheet" Target="/xl/worksheets/sheet1.xml" Id="Rce635eccc2294b74" /><Relationship Type="http://schemas.openxmlformats.org/officeDocument/2006/relationships/worksheet" Target="/xl/worksheets/sheet2.xml" Id="Ree1a7c86f3c145b7" /><Relationship Type="http://schemas.openxmlformats.org/officeDocument/2006/relationships/worksheet" Target="/xl/worksheets/sheet3.xml" Id="R6e09b83a1bd74e83" /><Relationship Type="http://schemas.openxmlformats.org/officeDocument/2006/relationships/worksheet" Target="/xl/worksheets/sheet4.xml" Id="Rec883b2a242145f1" /><Relationship Type="http://schemas.openxmlformats.org/officeDocument/2006/relationships/worksheet" Target="/xl/worksheets/sheet5.xml" Id="R1c24cd4245084470" /><Relationship Type="http://schemas.openxmlformats.org/officeDocument/2006/relationships/worksheet" Target="/xl/worksheets/sheet6.xml" Id="R9c3dcad3cdbe4404" /><Relationship Type="http://schemas.openxmlformats.org/officeDocument/2006/relationships/worksheet" Target="/xl/worksheets/sheet7.xml" Id="Re9799fc4f9fe494a" /><Relationship Type="http://schemas.openxmlformats.org/officeDocument/2006/relationships/worksheet" Target="/xl/worksheets/sheet8.xml" Id="R441e68790cab4e1d" /><Relationship Type="http://schemas.openxmlformats.org/officeDocument/2006/relationships/worksheet" Target="/xl/worksheets/sheet9.xml" Id="R9bcae7e9267d425b" /><Relationship Type="http://schemas.openxmlformats.org/officeDocument/2006/relationships/worksheet" Target="/xl/worksheets/sheet10.xml" Id="R525c412c544e4a0b" /><Relationship Type="http://schemas.openxmlformats.org/officeDocument/2006/relationships/worksheet" Target="/xl/worksheets/sheet11.xml" Id="Re4747086bdf34ed6" /><Relationship Type="http://schemas.openxmlformats.org/officeDocument/2006/relationships/worksheet" Target="/xl/worksheets/sheet12.xml" Id="R9e447ab9dc764292" /></Relationships>
</file>

<file path=xl/tables/table1.xml><?xml version="1.0" encoding="utf-8"?>
<x:table xmlns:x="http://schemas.openxmlformats.org/spreadsheetml/2006/main" id="1" name="PlacementsTable" displayName="PlacementsTable" ref="A1:K66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2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L32" headerRowCount="1" totalsRowCount="0" totalsRowShown="0">
  <x:tableColumns count="12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  <x:tableColumn id="10" name="revealText"/>
    <x:tableColumn id="11" name="promptText"/>
    <x:tableColumn id="12" name="publish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P20" headerRowCount="1" totalsRowCount="0" totalsRowShown="0">
  <x:tableColumns count="1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  <x:tableColumn id="7" name="title"/>
    <x:tableColumn id="8" name="subtitle"/>
    <x:tableColumn id="9" name="deep_question"/>
    <x:tableColumn id="10" name="intro_text"/>
    <x:tableColumn id="11" name="start_date"/>
    <x:tableColumn id="12" name="end_date"/>
    <x:tableColumn id="13" name="scale_mode"/>
    <x:tableColumn id="14" name="scale_config"/>
    <x:tableColumn id="15" name="published"/>
    <x:tableColumn id="16" name="completion_refl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4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40a55f131146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d3b4212ef594f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8665164329249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813f587aa324f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314a63a042a469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fae393b591d466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14ef859380e4d27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false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deep_time_evidence</x:v>
      </x:c>
      <x:c r="D22" s="12" t="str">
        <x:v>timeline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Ivory Through Time poster</x:v>
      </x:c>
      <x:c r="J22" s="15" t="str">
        <x:f>IF(B22="","",IFERROR(VLOOKUP(B22,Slots!$A$2:$E$501,5,FALSE),"Unknown slot"))</x:f>
        <x:v>timeline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natural_history_inquiry_01_1</x:v>
      </x:c>
      <x:c r="B24" s="12" t="str">
        <x:v>natural_history_inquiry_01</x:v>
      </x:c>
      <x:c r="C24" s="12" t="str">
        <x:v>natural-history-tusk</x:v>
      </x:c>
      <x:c r="D24" s="12" t="str">
        <x:v>tool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Ivory inquiry</x:v>
      </x:c>
      <x:c r="J24" s="15" t="str">
        <x:f>IF(B24="","",IFERROR(VLOOKUP(B24,Slots!$A$2:$E$501,5,FALSE),"Unknown slot"))</x:f>
        <x:v>tool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conservators_office_terminal_01_1</x:v>
      </x:c>
      <x:c r="B25" s="12" t="str">
        <x:v>conservators_office_terminal_01</x:v>
      </x:c>
      <x:c r="C25" s="12" t="str">
        <x:v>conservator-terminal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conservators_office</x:v>
      </x:c>
      <x:c r="H25" s="15" t="str">
        <x:f>IF(G25="","",IFERROR(VLOOKUP(G25,Rooms!$A$2:$B$501,2,FALSE),"Unknown room"))</x:f>
        <x:v>Conservator's Office</x:v>
      </x:c>
      <x:c r="I25" s="15" t="str">
        <x:f>IF(B25="","",IFERROR(VLOOKUP(B25,Slots!$A$2:$D$501,4,FALSE),"Unknown slot"))</x:f>
        <x:v>Desk terminal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conservators_office_panel_01_1</x:v>
      </x:c>
      <x:c r="B26" s="12" t="str">
        <x:v>conservators_office_panel_01</x:v>
      </x:c>
      <x:c r="C26" s="12" t="str">
        <x:v>conservators_office_intro</x:v>
      </x:c>
      <x:c r="D26" s="12" t="str">
        <x:v>detail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Elephant wall panel</x:v>
      </x:c>
      <x:c r="J26" s="15" t="str">
        <x:f>IF(B26="","",IFERROR(VLOOKUP(B26,Slots!$A$2:$E$501,5,FALSE),"Unknown slot"))</x:f>
        <x:v>detail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lab_attic_context_01_1</x:v>
      </x:c>
      <x:c r="B27" s="12" t="str">
        <x:v>lab_attic_context_01</x:v>
      </x:c>
      <x:c r="C27" s="12" t="str">
        <x:v>lab-attic-sequence</x:v>
      </x:c>
      <x:c r="D27" s="12" t="str">
        <x:v>tool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lab</x:v>
      </x:c>
      <x:c r="H27" s="15" t="str">
        <x:f>IF(G27="","",IFERROR(VLOOKUP(G27,Rooms!$A$2:$B$501,2,FALSE),"Unknown room"))</x:f>
        <x:v>Lab</x:v>
      </x:c>
      <x:c r="I27" s="15" t="str">
        <x:f>IF(B27="","",IFERROR(VLOOKUP(B27,Slots!$A$2:$D$501,4,FALSE),"Unknown slot"))</x:f>
        <x:v>Attic access context</x:v>
      </x:c>
      <x:c r="J27" s="15" t="str">
        <x:f>IF(B27="","",IFERROR(VLOOKUP(B27,Slots!$A$2:$E$501,5,FALSE),"Unknown slot"))</x:f>
        <x:v>tool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geib-flute</x:v>
      </x:c>
      <x:c r="B28" s="12" t="str">
        <x:v>natural_history_panel_02</x:v>
      </x:c>
      <x:c r="C28" s="12" t="str">
        <x:v>geib-flute</x:v>
      </x:c>
      <x:c r="D28" s="12" t="str">
        <x:v>detail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natural_history</x:v>
      </x:c>
      <x:c r="H28" s="15" t="str">
        <x:f>IF(G28="","",IFERROR(VLOOKUP(G28,Rooms!$A$2:$B$501,2,FALSE),"Unknown room"))</x:f>
        <x:v>Natural History Museum</x:v>
      </x:c>
      <x:c r="I28" s="15" t="str">
        <x:f>IF(B28="","",IFERROR(VLOOKUP(B28,Slots!$A$2:$D$501,4,FALSE),"Unknown slot"))</x:f>
        <x:v>Central recessed panel</x:v>
      </x:c>
      <x:c r="J28" s="15" t="str">
        <x:f>IF(B28="","",IFERROR(VLOOKUP(B28,Slots!$A$2:$E$501,5,FALSE),"Unknown slot"))</x:f>
        <x:v>collection</x:v>
      </x:c>
      <x:c r="K28" s="15" t="n">
        <x:f>IF(B28="","",IFERROR(VLOOKUP(B28,Slots!$A$2:$F$501,6,FALSE),"Unknown slot"))</x:f>
        <x:v>8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IF(B29="","",IFERROR(VLOOKUP(B29,Slots!$A$2:$D$501,2,FALSE),"Unknown slot"))</x:f>
        <x:v>historical_society</x:v>
      </x:c>
      <x:c r="H29" s="15" t="str">
        <x:f>IF(G29="","",IFERROR(VLOOKUP(G29,Rooms!$A$2:$B$501,2,FALSE),"Unknown room"))</x:f>
        <x:v>Historical Society</x:v>
      </x:c>
      <x:c r="I29" s="15" t="str">
        <x:f>IF(B29="","",IFERROR(VLOOKUP(B29,Slots!$A$2:$D$501,4,FALSE),"Unknown slot"))</x:f>
        <x:v>Historical Society introduction</x:v>
      </x:c>
      <x:c r="J29" s="15" t="str">
        <x:f>IF(B29="","",IFERROR(VLOOKUP(B29,Slots!$A$2:$E$501,5,FALSE),"Unknown slot"))</x:f>
        <x:v>detail</x:v>
      </x:c>
      <x:c r="K29" s="15" t="n">
        <x:f>IF(B29="","",IFERROR(VLOOKUP(B29,Slots!$A$2:$F$501,6,FALSE),"Unknown slot"))</x:f>
        <x:v>1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IF(B30="","",IFERROR(VLOOKUP(B30,Slots!$A$2:$D$501,2,FALSE),"Unknown slot"))</x:f>
        <x:v>attic</x:v>
      </x:c>
      <x:c r="H30" s="15" t="str">
        <x:f>IF(G30="","",IFERROR(VLOOKUP(G30,Rooms!$A$2:$B$501,2,FALSE),"Unknown room"))</x:f>
        <x:v>Attic</x:v>
      </x:c>
      <x:c r="I30" s="15" t="str">
        <x:f>IF(B30="","",IFERROR(VLOOKUP(B30,Slots!$A$2:$D$501,4,FALSE),"Unknown slot"))</x:f>
        <x:v>Attic introduction</x:v>
      </x:c>
      <x:c r="J30" s="15" t="str">
        <x:f>IF(B30="","",IFERROR(VLOOKUP(B30,Slots!$A$2:$E$501,5,FALSE),"Unknown slot"))</x:f>
        <x:v>detail</x:v>
      </x:c>
      <x:c r="K30" s="15" t="n">
        <x:f>IF(B30="","",IFERROR(VLOOKUP(B30,Slots!$A$2:$F$501,6,FALSE),"Unknown slot"))</x:f>
        <x:v>1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IF(B31="","",IFERROR(VLOOKUP(B31,Slots!$A$2:$D$501,2,FALSE),"Unknown slot"))</x:f>
        <x:v>natural_history</x:v>
      </x:c>
      <x:c r="H31" s="15" t="str">
        <x:f>IF(G31="","",IFERROR(VLOOKUP(G31,Rooms!$A$2:$B$501,2,FALSE),"Unknown room"))</x:f>
        <x:v>Natural History Museum</x:v>
      </x:c>
      <x:c r="I31" s="15" t="str">
        <x:f>IF(B31="","",IFERROR(VLOOKUP(B31,Slots!$A$2:$D$501,4,FALSE),"Unknown slot"))</x:f>
        <x:v>Natural History Museum introduction</x:v>
      </x:c>
      <x:c r="J31" s="15" t="str">
        <x:f>IF(B31="","",IFERROR(VLOOKUP(B31,Slots!$A$2:$E$501,5,FALSE),"Unknown slot"))</x:f>
        <x:v>detail</x:v>
      </x:c>
      <x:c r="K31" s="15" t="n">
        <x:f>IF(B31="","",IFERROR(VLOOKUP(B31,Slots!$A$2:$F$501,6,FALSE),"Unknown slot"))</x:f>
        <x:v>1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IF(B32="","",IFERROR(VLOOKUP(B32,Slots!$A$2:$D$501,2,FALSE),"Unknown slot"))</x:f>
        <x:v>conservators_office</x:v>
      </x:c>
      <x:c r="H32" s="15" t="str">
        <x:f>IF(G32="","",IFERROR(VLOOKUP(G32,Rooms!$A$2:$B$501,2,FALSE),"Unknown room"))</x:f>
        <x:v>Conservator's Office</x:v>
      </x:c>
      <x:c r="I32" s="15" t="str">
        <x:f>IF(B32="","",IFERROR(VLOOKUP(B32,Slots!$A$2:$D$501,4,FALSE),"Unknown slot"))</x:f>
        <x:v>Conservator's Office introduction</x:v>
      </x:c>
      <x:c r="J32" s="15" t="str">
        <x:f>IF(B32="","",IFERROR(VLOOKUP(B32,Slots!$A$2:$E$501,5,FALSE),"Unknown slot"))</x:f>
        <x:v>detail</x:v>
      </x:c>
      <x:c r="K32" s="15" t="n">
        <x:f>IF(B32="","",IFERROR(VLOOKUP(B32,Slots!$A$2:$F$501,6,FALSE),"Unknown slot"))</x:f>
        <x:v>1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IF(B33="","",IFERROR(VLOOKUP(B33,Slots!$A$2:$D$501,2,FALSE),"Unknown slot"))</x:f>
        <x:v>lab</x:v>
      </x:c>
      <x:c r="H33" s="15" t="str">
        <x:f>IF(G33="","",IFERROR(VLOOKUP(G33,Rooms!$A$2:$B$501,2,FALSE),"Unknown room"))</x:f>
        <x:v>Lab</x:v>
      </x:c>
      <x:c r="I33" s="15" t="str">
        <x:f>IF(B33="","",IFERROR(VLOOKUP(B33,Slots!$A$2:$D$501,4,FALSE),"Unknown slot"))</x:f>
        <x:v>Lab introduction</x:v>
      </x:c>
      <x:c r="J33" s="15" t="str">
        <x:f>IF(B33="","",IFERROR(VLOOKUP(B33,Slots!$A$2:$E$501,5,FALSE),"Unknown slot"))</x:f>
        <x:v>detail</x:v>
      </x:c>
      <x:c r="K33" s="15" t="n">
        <x:f>IF(B33="","",IFERROR(VLOOKUP(B33,Slots!$A$2:$F$501,6,FALSE),"Unknown slot"))</x:f>
        <x:v>1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IF(B34="","",IFERROR(VLOOKUP(B34,Slots!$A$2:$D$501,2,FALSE),"Unknown slot"))</x:f>
        <x:v>gallery</x:v>
      </x:c>
      <x:c r="H34" s="15" t="str">
        <x:f>IF(G34="","",IFERROR(VLOOKUP(G34,Rooms!$A$2:$B$501,2,FALSE),"Unknown room"))</x:f>
        <x:v>Gallery</x:v>
      </x:c>
      <x:c r="I34" s="15" t="str">
        <x:f>IF(B34="","",IFERROR(VLOOKUP(B34,Slots!$A$2:$D$501,4,FALSE),"Unknown slot"))</x:f>
        <x:v>Rear round display</x:v>
      </x:c>
      <x:c r="J34" s="15" t="str">
        <x:f>IF(B34="","",IFERROR(VLOOKUP(B34,Slots!$A$2:$E$501,5,FALSE),"Unknown slot"))</x:f>
        <x:v>collection</x:v>
      </x:c>
      <x:c r="K34" s="15" t="n">
        <x:f>IF(B34="","",IFERROR(VLOOKUP(B34,Slots!$A$2:$F$501,6,FALSE),"Unknown slot"))</x:f>
        <x:v>8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IF(B35="","",IFERROR(VLOOKUP(B35,Slots!$A$2:$D$501,2,FALSE),"Unknown slot"))</x:f>
        <x:v>historical_society</x:v>
      </x:c>
      <x:c r="H35" s="15" t="str">
        <x:f>IF(G35="","",IFERROR(VLOOKUP(G35,Rooms!$A$2:$B$501,2,FALSE),"Unknown room"))</x:f>
        <x:v>Historical Society</x:v>
      </x:c>
      <x:c r="I35" s="15" t="str">
        <x:f>IF(B35="","",IFERROR(VLOOKUP(B35,Slots!$A$2:$D$501,4,FALSE),"Unknown slot"))</x:f>
        <x:v>Window-side case</x:v>
      </x:c>
      <x:c r="J35" s="15" t="str">
        <x:f>IF(B35="","",IFERROR(VLOOKUP(B35,Slots!$A$2:$E$501,5,FALSE),"Unknown slot"))</x:f>
        <x:v>collection</x:v>
      </x:c>
      <x:c r="K35" s="15" t="n">
        <x:f>IF(B35="","",IFERROR(VLOOKUP(B35,Slots!$A$2:$F$501,6,FALSE),"Unknown slot"))</x:f>
        <x:v>8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IF(B36="","",IFERROR(VLOOKUP(B36,Slots!$A$2:$D$501,2,FALSE),"Unknown slot"))</x:f>
        <x:v>historical_society</x:v>
      </x:c>
      <x:c r="H36" s="15" t="str">
        <x:f>IF(G36="","",IFERROR(VLOOKUP(G36,Rooms!$A$2:$B$501,2,FALSE),"Unknown room"))</x:f>
        <x:v>Historical Society</x:v>
      </x:c>
      <x:c r="I36" s="15" t="str">
        <x:f>IF(B36="","",IFERROR(VLOOKUP(B36,Slots!$A$2:$D$501,4,FALSE),"Unknown slot"))</x:f>
        <x:v>Foreground-right case</x:v>
      </x:c>
      <x:c r="J36" s="15" t="str">
        <x:f>IF(B36="","",IFERROR(VLOOKUP(B36,Slots!$A$2:$E$501,5,FALSE),"Unknown slot"))</x:f>
        <x:v>collection</x:v>
      </x:c>
      <x:c r="K36" s="15" t="n">
        <x:f>IF(B36="","",IFERROR(VLOOKUP(B36,Slots!$A$2:$F$501,6,FALSE),"Unknown slot"))</x:f>
        <x:v>8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IF(B37="","",IFERROR(VLOOKUP(B37,Slots!$A$2:$D$501,2,FALSE),"Unknown slot"))</x:f>
        <x:v>attic</x:v>
      </x:c>
      <x:c r="H37" s="15" t="str">
        <x:f>IF(G37="","",IFERROR(VLOOKUP(G37,Rooms!$A$2:$B$501,2,FALSE),"Unknown room"))</x:f>
        <x:v>Attic</x:v>
      </x:c>
      <x:c r="I37" s="15" t="str">
        <x:f>IF(B37="","",IFERROR(VLOOKUP(B37,Slots!$A$2:$D$501,4,FALSE),"Unknown slot"))</x:f>
        <x:v>Left open trunk</x:v>
      </x:c>
      <x:c r="J37" s="15" t="str">
        <x:f>IF(B37="","",IFERROR(VLOOKUP(B37,Slots!$A$2:$E$501,5,FALSE),"Unknown slot"))</x:f>
        <x:v>collection</x:v>
      </x:c>
      <x:c r="K37" s="15" t="n">
        <x:f>IF(B37="","",IFERROR(VLOOKUP(B37,Slots!$A$2:$F$501,6,FALSE),"Unknown slot"))</x:f>
        <x:v>8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IF(B38="","",IFERROR(VLOOKUP(B38,Slots!$A$2:$D$501,2,FALSE),"Unknown slot"))</x:f>
        <x:v>attic</x:v>
      </x:c>
      <x:c r="H38" s="15" t="str">
        <x:f>IF(G38="","",IFERROR(VLOOKUP(G38,Rooms!$A$2:$B$501,2,FALSE),"Unknown room"))</x:f>
        <x:v>Attic</x:v>
      </x:c>
      <x:c r="I38" s="15" t="str">
        <x:f>IF(B38="","",IFERROR(VLOOKUP(B38,Slots!$A$2:$D$501,4,FALSE),"Unknown slot"))</x:f>
        <x:v>Right open trunk</x:v>
      </x:c>
      <x:c r="J38" s="15" t="str">
        <x:f>IF(B38="","",IFERROR(VLOOKUP(B38,Slots!$A$2:$E$501,5,FALSE),"Unknown slot"))</x:f>
        <x:v>collection</x:v>
      </x:c>
      <x:c r="K38" s="15" t="n">
        <x:f>IF(B38="","",IFERROR(VLOOKUP(B38,Slots!$A$2:$F$501,6,FALSE),"Unknown slot"))</x:f>
        <x:v>8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IF(B39="","",IFERROR(VLOOKUP(B39,Slots!$A$2:$D$501,2,FALSE),"Unknown slot"))</x:f>
        <x:v>attic</x:v>
      </x:c>
      <x:c r="H39" s="15" t="str">
        <x:f>IF(G39="","",IFERROR(VLOOKUP(G39,Rooms!$A$2:$B$501,2,FALSE),"Unknown room"))</x:f>
        <x:v>Attic</x:v>
      </x:c>
      <x:c r="I39" s="15" t="str">
        <x:f>IF(B39="","",IFERROR(VLOOKUP(B39,Slots!$A$2:$D$501,4,FALSE),"Unknown slot"))</x:f>
        <x:v>Shelving</x:v>
      </x:c>
      <x:c r="J39" s="15" t="str">
        <x:f>IF(B39="","",IFERROR(VLOOKUP(B39,Slots!$A$2:$E$501,5,FALSE),"Unknown slot"))</x:f>
        <x:v>collection</x:v>
      </x:c>
      <x:c r="K39" s="15" t="n">
        <x:f>IF(B39="","",IFERROR(VLOOKUP(B39,Slots!$A$2:$F$501,6,FALSE),"Unknown slot"))</x:f>
        <x:v>8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IF(B40="","",IFERROR(VLOOKUP(B40,Slots!$A$2:$D$501,2,FALSE),"Unknown slot"))</x:f>
        <x:v>attic</x:v>
      </x:c>
      <x:c r="H40" s="15" t="str">
        <x:f>IF(G40="","",IFERROR(VLOOKUP(G40,Rooms!$A$2:$B$501,2,FALSE),"Unknown room"))</x:f>
        <x:v>Attic</x:v>
      </x:c>
      <x:c r="I40" s="15" t="str">
        <x:f>IF(B40="","",IFERROR(VLOOKUP(B40,Slots!$A$2:$D$501,4,FALSE),"Unknown slot"))</x:f>
        <x:v>Research table</x:v>
      </x:c>
      <x:c r="J40" s="15" t="str">
        <x:f>IF(B40="","",IFERROR(VLOOKUP(B40,Slots!$A$2:$E$501,5,FALSE),"Unknown slot"))</x:f>
        <x:v>collection</x:v>
      </x:c>
      <x:c r="K40" s="15" t="n">
        <x:f>IF(B40="","",IFERROR(VLOOKUP(B40,Slots!$A$2:$F$501,6,FALSE),"Unknown slot"))</x:f>
        <x:v>8</x:v>
      </x:c>
    </x:row>
    <x:row r="41" ht="34" customHeight="1">
      <x:c r="A41" s="12" t="str">
        <x:v>draft_natural_history_timeline_02</x:v>
      </x:c>
      <x:c r="B41" s="12" t="str">
        <x:v>natural_history_timeline_02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IF(B41="","",IFERROR(VLOOKUP(B41,Slots!$A$2:$D$501,2,FALSE),"Unknown slot"))</x:f>
        <x:v>natural_history</x:v>
      </x:c>
      <x:c r="H41" s="15" t="str">
        <x:f>IF(G41="","",IFERROR(VLOOKUP(G41,Rooms!$A$2:$B$501,2,FALSE),"Unknown room"))</x:f>
        <x:v>Natural History Museum</x:v>
      </x:c>
      <x:c r="I41" s="15" t="str">
        <x:f>IF(B41="","",IFERROR(VLOOKUP(B41,Slots!$A$2:$D$501,4,FALSE),"Unknown slot"))</x:f>
        <x:v>Background wall curator mount</x:v>
      </x:c>
      <x:c r="J41" s="15" t="str">
        <x:f>IF(B41="","",IFERROR(VLOOKUP(B41,Slots!$A$2:$E$501,5,FALSE),"Unknown slot"))</x:f>
        <x:v>collection</x:v>
      </x:c>
      <x:c r="K41" s="15" t="n">
        <x:f>IF(B41="","",IFERROR(VLOOKUP(B41,Slots!$A$2:$F$501,6,FALSE),"Unknown slot"))</x:f>
        <x:v>8</x:v>
      </x:c>
    </x:row>
    <x:row r="42" ht="34" customHeight="1">
      <x:c r="A42" s="12" t="str">
        <x:v>draft_natural_history_table_01</x:v>
      </x:c>
      <x:c r="B42" s="12" t="str">
        <x:v>natural_history_table_01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IF(B42="","",IFERROR(VLOOKUP(B42,Slots!$A$2:$D$501,2,FALSE),"Unknown slot"))</x:f>
        <x:v>natural_history</x:v>
      </x:c>
      <x:c r="H42" s="15" t="str">
        <x:f>IF(G42="","",IFERROR(VLOOKUP(G42,Rooms!$A$2:$B$501,2,FALSE),"Unknown room"))</x:f>
        <x:v>Natural History Museum</x:v>
      </x:c>
      <x:c r="I42" s="15" t="str">
        <x:f>IF(B42="","",IFERROR(VLOOKUP(B42,Slots!$A$2:$D$501,4,FALSE),"Unknown slot"))</x:f>
        <x:v>Foreground table left</x:v>
      </x:c>
      <x:c r="J42" s="15" t="str">
        <x:f>IF(B42="","",IFERROR(VLOOKUP(B42,Slots!$A$2:$E$501,5,FALSE),"Unknown slot"))</x:f>
        <x:v>collection</x:v>
      </x:c>
      <x:c r="K42" s="15" t="n">
        <x:f>IF(B42="","",IFERROR(VLOOKUP(B42,Slots!$A$2:$F$501,6,FALSE),"Unknown slot"))</x:f>
        <x:v>4</x:v>
      </x:c>
    </x:row>
    <x:row r="43" ht="34" customHeight="1">
      <x:c r="A43" s="12" t="str">
        <x:v>draft_natural_history_table_02</x:v>
      </x:c>
      <x:c r="B43" s="12" t="str">
        <x:v>natural_history_table_02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IF(B43="","",IFERROR(VLOOKUP(B43,Slots!$A$2:$D$501,2,FALSE),"Unknown slot"))</x:f>
        <x:v>natural_history</x:v>
      </x:c>
      <x:c r="H43" s="15" t="str">
        <x:f>IF(G43="","",IFERROR(VLOOKUP(G43,Rooms!$A$2:$B$501,2,FALSE),"Unknown room"))</x:f>
        <x:v>Natural History Museum</x:v>
      </x:c>
      <x:c r="I43" s="15" t="str">
        <x:f>IF(B43="","",IFERROR(VLOOKUP(B43,Slots!$A$2:$D$501,4,FALSE),"Unknown slot"))</x:f>
        <x:v>Foreground table right</x:v>
      </x:c>
      <x:c r="J43" s="15" t="str">
        <x:f>IF(B43="","",IFERROR(VLOOKUP(B43,Slots!$A$2:$E$501,5,FALSE),"Unknown slot"))</x:f>
        <x:v>collection</x:v>
      </x:c>
      <x:c r="K43" s="15" t="n">
        <x:f>IF(B43="","",IFERROR(VLOOKUP(B43,Slots!$A$2:$F$501,6,FALSE),"Unknown slot"))</x:f>
        <x:v>4</x:v>
      </x:c>
    </x:row>
    <x:row r="44" ht="34" customHeight="1">
      <x:c r="A44" s="12" t="str">
        <x:v>draft_conservators_office_shelves_01</x:v>
      </x:c>
      <x:c r="B44" s="12" t="str">
        <x:v>conservators_office_shelves_01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IF(B44="","",IFERROR(VLOOKUP(B44,Slots!$A$2:$D$501,2,FALSE),"Unknown slot"))</x:f>
        <x:v>conservators_office</x:v>
      </x:c>
      <x:c r="H44" s="15" t="str">
        <x:f>IF(G44="","",IFERROR(VLOOKUP(G44,Rooms!$A$2:$B$501,2,FALSE),"Unknown room"))</x:f>
        <x:v>Conservator's Office</x:v>
      </x:c>
      <x:c r="I44" s="15" t="str">
        <x:f>IF(B44="","",IFERROR(VLOOKUP(B44,Slots!$A$2:$D$501,4,FALSE),"Unknown slot"))</x:f>
        <x:v>Left shelving</x:v>
      </x:c>
      <x:c r="J44" s="15" t="str">
        <x:f>IF(B44="","",IFERROR(VLOOKUP(B44,Slots!$A$2:$E$501,5,FALSE),"Unknown slot"))</x:f>
        <x:v>collection</x:v>
      </x:c>
      <x:c r="K44" s="15" t="n">
        <x:f>IF(B44="","",IFERROR(VLOOKUP(B44,Slots!$A$2:$F$501,6,FALSE),"Unknown slot"))</x:f>
        <x:v>8</x:v>
      </x:c>
    </x:row>
    <x:row r="45" ht="34" customHeight="1">
      <x:c r="A45" s="12" t="str">
        <x:v>draft_conservators_office_shelves_02</x:v>
      </x:c>
      <x:c r="B45" s="12" t="str">
        <x:v>conservators_office_shelves_02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IF(B45="","",IFERROR(VLOOKUP(B45,Slots!$A$2:$D$501,2,FALSE),"Unknown slot"))</x:f>
        <x:v>conservators_office</x:v>
      </x:c>
      <x:c r="H45" s="15" t="str">
        <x:f>IF(G45="","",IFERROR(VLOOKUP(G45,Rooms!$A$2:$B$501,2,FALSE),"Unknown room"))</x:f>
        <x:v>Conservator's Office</x:v>
      </x:c>
      <x:c r="I45" s="15" t="str">
        <x:f>IF(B45="","",IFERROR(VLOOKUP(B45,Slots!$A$2:$D$501,4,FALSE),"Unknown slot"))</x:f>
        <x:v>Rear shelving</x:v>
      </x:c>
      <x:c r="J45" s="15" t="str">
        <x:f>IF(B45="","",IFERROR(VLOOKUP(B45,Slots!$A$2:$E$501,5,FALSE),"Unknown slot"))</x:f>
        <x:v>collection</x:v>
      </x:c>
      <x:c r="K45" s="15" t="n">
        <x:f>IF(B45="","",IFERROR(VLOOKUP(B45,Slots!$A$2:$F$501,6,FALSE),"Unknown slot"))</x:f>
        <x:v>8</x:v>
      </x:c>
    </x:row>
    <x:row r="46" ht="34" customHeight="1">
      <x:c r="A46" s="12" t="str">
        <x:v>draft_conservators_office_shelves_03</x:v>
      </x:c>
      <x:c r="B46" s="12" t="str">
        <x:v>conservators_office_shelves_03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IF(B46="","",IFERROR(VLOOKUP(B46,Slots!$A$2:$D$501,2,FALSE),"Unknown slot"))</x:f>
        <x:v>conservators_office</x:v>
      </x:c>
      <x:c r="H46" s="15" t="str">
        <x:f>IF(G46="","",IFERROR(VLOOKUP(G46,Rooms!$A$2:$B$501,2,FALSE),"Unknown room"))</x:f>
        <x:v>Conservator's Office</x:v>
      </x:c>
      <x:c r="I46" s="15" t="str">
        <x:f>IF(B46="","",IFERROR(VLOOKUP(B46,Slots!$A$2:$D$501,4,FALSE),"Unknown slot"))</x:f>
        <x:v>Right shelving</x:v>
      </x:c>
      <x:c r="J46" s="15" t="str">
        <x:f>IF(B46="","",IFERROR(VLOOKUP(B46,Slots!$A$2:$E$501,5,FALSE),"Unknown slot"))</x:f>
        <x:v>collection</x:v>
      </x:c>
      <x:c r="K46" s="15" t="n">
        <x:f>IF(B46="","",IFERROR(VLOOKUP(B46,Slots!$A$2:$F$501,6,FALSE),"Unknown slot"))</x:f>
        <x:v>8</x:v>
      </x:c>
    </x:row>
    <x:row r="47" ht="34" customHeight="1">
      <x:c r="A47" s="12" t="str">
        <x:v>draft_lab_bench_01</x:v>
      </x:c>
      <x:c r="B47" s="12" t="str">
        <x:v>lab_bench_01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IF(B47="","",IFERROR(VLOOKUP(B47,Slots!$A$2:$D$501,2,FALSE),"Unknown slot"))</x:f>
        <x:v>lab</x:v>
      </x:c>
      <x:c r="H47" s="15" t="str">
        <x:f>IF(G47="","",IFERROR(VLOOKUP(G47,Rooms!$A$2:$B$501,2,FALSE),"Unknown room"))</x:f>
        <x:v>Lab</x:v>
      </x:c>
      <x:c r="I47" s="15" t="str">
        <x:f>IF(B47="","",IFERROR(VLOOKUP(B47,Slots!$A$2:$D$501,4,FALSE),"Unknown slot"))</x:f>
        <x:v>Analysis bench</x:v>
      </x:c>
      <x:c r="J47" s="15" t="str">
        <x:f>IF(B47="","",IFERROR(VLOOKUP(B47,Slots!$A$2:$E$501,5,FALSE),"Unknown slot"))</x:f>
        <x:v>collection</x:v>
      </x:c>
      <x:c r="K47" s="15" t="n">
        <x:f>IF(B47="","",IFERROR(VLOOKUP(B47,Slots!$A$2:$F$501,6,FALSE),"Unknown slot"))</x:f>
        <x:v>8</x:v>
      </x:c>
    </x:row>
    <x:row r="48" ht="34" customHeight="1">
      <x:c r="A48" s="12" t="str">
        <x:v>draft_lab_equipment_01</x:v>
      </x:c>
      <x:c r="B48" s="12" t="str">
        <x:v>lab_equipment_01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IF(B48="","",IFERROR(VLOOKUP(B48,Slots!$A$2:$D$501,2,FALSE),"Unknown slot"))</x:f>
        <x:v>lab</x:v>
      </x:c>
      <x:c r="H48" s="15" t="str">
        <x:f>IF(G48="","",IFERROR(VLOOKUP(G48,Rooms!$A$2:$B$501,2,FALSE),"Unknown room"))</x:f>
        <x:v>Lab</x:v>
      </x:c>
      <x:c r="I48" s="15" t="str">
        <x:f>IF(B48="","",IFERROR(VLOOKUP(B48,Slots!$A$2:$D$501,4,FALSE),"Unknown slot"))</x:f>
        <x:v>Equipment</x:v>
      </x:c>
      <x:c r="J48" s="15" t="str">
        <x:f>IF(B48="","",IFERROR(VLOOKUP(B48,Slots!$A$2:$E$501,5,FALSE),"Unknown slot"))</x:f>
        <x:v>collection</x:v>
      </x:c>
      <x:c r="K48" s="15" t="n">
        <x:f>IF(B48="","",IFERROR(VLOOKUP(B48,Slots!$A$2:$F$501,6,FALSE),"Unknown slot"))</x:f>
        <x:v>8</x:v>
      </x:c>
    </x:row>
    <x:row r="49" ht="34" customHeight="1">
      <x:c r="A49" s="12" t="str">
        <x:v>draft_lab_cabinet_01</x:v>
      </x:c>
      <x:c r="B49" s="12" t="str">
        <x:v>lab_cabinet_01</x:v>
      </x:c>
      <x:c r="C49" s="12" t="str"/>
      <x:c r="D49" s="12" t="str">
        <x:v>detail</x:v>
      </x:c>
      <x:c r="E49" s="13" t="n">
        <x:v>1</x:v>
      </x:c>
      <x:c r="F49" s="12" t="str">
        <x:v>false</x:v>
      </x:c>
      <x:c r="G49" s="15" t="str">
        <x:f>IF(B49="","",IFERROR(VLOOKUP(B49,Slots!$A$2:$D$501,2,FALSE),"Unknown slot"))</x:f>
        <x:v>lab</x:v>
      </x:c>
      <x:c r="H49" s="15" t="str">
        <x:f>IF(G49="","",IFERROR(VLOOKUP(G49,Rooms!$A$2:$B$501,2,FALSE),"Unknown room"))</x:f>
        <x:v>Lab</x:v>
      </x:c>
      <x:c r="I49" s="15" t="str">
        <x:f>IF(B49="","",IFERROR(VLOOKUP(B49,Slots!$A$2:$D$501,4,FALSE),"Unknown slot"))</x:f>
        <x:v>Left cabinet</x:v>
      </x:c>
      <x:c r="J49" s="15" t="str">
        <x:f>IF(B49="","",IFERROR(VLOOKUP(B49,Slots!$A$2:$E$501,5,FALSE),"Unknown slot"))</x:f>
        <x:v>collection</x:v>
      </x:c>
      <x:c r="K49" s="15" t="n">
        <x:f>IF(B49="","",IFERROR(VLOOKUP(B49,Slots!$A$2:$F$501,6,FALSE),"Unknown slot"))</x:f>
        <x:v>8</x:v>
      </x:c>
    </x:row>
    <x:row r="50" ht="34" customHeight="1">
      <x:c r="A50" s="12" t="str">
        <x:v>draft_lab_cabinet_02</x:v>
      </x:c>
      <x:c r="B50" s="12" t="str">
        <x:v>lab_cabinet_02</x:v>
      </x:c>
      <x:c r="C50" s="12" t="str"/>
      <x:c r="D50" s="12" t="str">
        <x:v>detail</x:v>
      </x:c>
      <x:c r="E50" s="13" t="n">
        <x:v>1</x:v>
      </x:c>
      <x:c r="F50" s="12" t="str">
        <x:v>false</x:v>
      </x:c>
      <x:c r="G50" s="15" t="str">
        <x:f>IF(B50="","",IFERROR(VLOOKUP(B50,Slots!$A$2:$D$501,2,FALSE),"Unknown slot"))</x:f>
        <x:v>lab</x:v>
      </x:c>
      <x:c r="H50" s="15" t="str">
        <x:f>IF(G50="","",IFERROR(VLOOKUP(G50,Rooms!$A$2:$B$501,2,FALSE),"Unknown room"))</x:f>
        <x:v>Lab</x:v>
      </x:c>
      <x:c r="I50" s="15" t="str">
        <x:f>IF(B50="","",IFERROR(VLOOKUP(B50,Slots!$A$2:$D$501,4,FALSE),"Unknown slot"))</x:f>
        <x:v>Right cabinet</x:v>
      </x:c>
      <x:c r="J50" s="15" t="str">
        <x:f>IF(B50="","",IFERROR(VLOOKUP(B50,Slots!$A$2:$E$501,5,FALSE),"Unknown slot"))</x:f>
        <x:v>collection</x:v>
      </x:c>
      <x:c r="K50" s="15" t="n">
        <x:f>IF(B50="","",IFERROR(VLOOKUP(B50,Slots!$A$2:$F$501,6,FALSE),"Unknown slot"))</x:f>
        <x:v>8</x:v>
      </x:c>
    </x:row>
    <x:row r="51" ht="34" customHeight="1">
      <x:c r="A51" s="12" t="str">
        <x:v>draft_gallery_detail_01</x:v>
      </x:c>
      <x:c r="B51" s="12" t="str">
        <x:v>gallery_detail_01</x:v>
      </x:c>
      <x:c r="C51" s="12" t="str"/>
      <x:c r="D51" s="12" t="str">
        <x:v>detail</x:v>
      </x:c>
      <x:c r="E51" s="13" t="n">
        <x:v>1</x:v>
      </x:c>
      <x:c r="F51" s="12" t="str">
        <x:v>false</x:v>
      </x:c>
      <x:c r="G51" s="15" t="str">
        <x:f>IF(B51="","",IFERROR(VLOOKUP(B51,Slots!$A$2:$D$501,2,FALSE),"Unknown slot"))</x:f>
        <x:v>gallery</x:v>
      </x:c>
      <x:c r="H51" s="15" t="str">
        <x:f>IF(G51="","",IFERROR(VLOOKUP(G51,Rooms!$A$2:$B$501,2,FALSE),"Unknown room"))</x:f>
        <x:v>Gallery</x:v>
      </x:c>
      <x:c r="I51" s="15" t="str">
        <x:f>IF(B51="","",IFERROR(VLOOKUP(B51,Slots!$A$2:$D$501,4,FALSE),"Unknown slot"))</x:f>
        <x:v>New access point</x:v>
      </x:c>
      <x:c r="J51" s="15" t="str">
        <x:f>IF(B51="","",IFERROR(VLOOKUP(B51,Slots!$A$2:$E$501,5,FALSE),"Unknown slot"))</x:f>
        <x:v>detail</x:v>
      </x:c>
      <x:c r="K51" s="15" t="n">
        <x:f>IF(B51="","",IFERROR(VLOOKUP(B51,Slots!$A$2:$F$501,6,FALSE),"Unknown slot"))</x:f>
        <x:v>1</x:v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IF(B52="","",IFERROR(VLOOKUP(B52,Slots!$A$2:$D$501,2,FALSE),"Unknown slot"))</x:f>
      </x:c>
      <x:c r="H52" s="15" t="str">
        <x:f>IF(G52="","",IFERROR(VLOOKUP(G52,Rooms!$A$2:$B$501,2,FALSE),"Unknown room"))</x:f>
      </x:c>
      <x:c r="I52" s="15" t="str">
        <x:f>IF(B52="","",IFERROR(VLOOKUP(B52,Slots!$A$2:$D$501,4,FALSE),"Unknown slot"))</x:f>
      </x:c>
      <x:c r="J52" s="15" t="str">
        <x:f>IF(B52="","",IFERROR(VLOOKUP(B52,Slots!$A$2:$E$501,5,FALSE),"Unknown slot"))</x:f>
      </x:c>
      <x:c r="K52" s="15" t="str">
        <x:f>IF(B52="","",IFERROR(VLOOKUP(B52,Slots!$A$2:$F$501,6,FALSE),"Unknown slot"))</x:f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IF(B53="","",IFERROR(VLOOKUP(B53,Slots!$A$2:$D$501,2,FALSE),"Unknown slot"))</x:f>
      </x:c>
      <x:c r="H53" s="15" t="str">
        <x:f>IF(G53="","",IFERROR(VLOOKUP(G53,Rooms!$A$2:$B$501,2,FALSE),"Unknown room"))</x:f>
      </x:c>
      <x:c r="I53" s="15" t="str">
        <x:f>IF(B53="","",IFERROR(VLOOKUP(B53,Slots!$A$2:$D$501,4,FALSE),"Unknown slot"))</x:f>
      </x:c>
      <x:c r="J53" s="15" t="str">
        <x:f>IF(B53="","",IFERROR(VLOOKUP(B53,Slots!$A$2:$E$501,5,FALSE),"Unknown slot"))</x:f>
      </x:c>
      <x:c r="K53" s="15" t="str">
        <x:f>IF(B53="","",IFERROR(VLOOKUP(B53,Slots!$A$2:$F$501,6,FALSE),"Unknown slot"))</x:f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IF(B54="","",IFERROR(VLOOKUP(B54,Slots!$A$2:$D$501,2,FALSE),"Unknown slot"))</x:f>
      </x:c>
      <x:c r="H54" s="15" t="str">
        <x:f>IF(G54="","",IFERROR(VLOOKUP(G54,Rooms!$A$2:$B$501,2,FALSE),"Unknown room"))</x:f>
      </x:c>
      <x:c r="I54" s="15" t="str">
        <x:f>IF(B54="","",IFERROR(VLOOKUP(B54,Slots!$A$2:$D$501,4,FALSE),"Unknown slot"))</x:f>
      </x:c>
      <x:c r="J54" s="15" t="str">
        <x:f>IF(B54="","",IFERROR(VLOOKUP(B54,Slots!$A$2:$E$501,5,FALSE),"Unknown slot"))</x:f>
      </x:c>
      <x:c r="K54" s="15" t="str">
        <x:f>IF(B54="","",IFERROR(VLOOKUP(B54,Slots!$A$2:$F$501,6,FALSE),"Unknown slot"))</x:f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IF(B55="","",IFERROR(VLOOKUP(B55,Slots!$A$2:$D$501,2,FALSE),"Unknown slot"))</x:f>
      </x:c>
      <x:c r="H55" s="15" t="str">
        <x:f>IF(G55="","",IFERROR(VLOOKUP(G55,Rooms!$A$2:$B$501,2,FALSE),"Unknown room"))</x:f>
      </x:c>
      <x:c r="I55" s="15" t="str">
        <x:f>IF(B55="","",IFERROR(VLOOKUP(B55,Slots!$A$2:$D$501,4,FALSE),"Unknown slot"))</x:f>
      </x:c>
      <x:c r="J55" s="15" t="str">
        <x:f>IF(B55="","",IFERROR(VLOOKUP(B55,Slots!$A$2:$E$501,5,FALSE),"Unknown slot"))</x:f>
      </x:c>
      <x:c r="K55" s="15" t="str">
        <x:f>IF(B55="","",IFERROR(VLOOKUP(B55,Slots!$A$2:$F$501,6,FALSE),"Unknown slot"))</x:f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IF(B56="","",IFERROR(VLOOKUP(B56,Slots!$A$2:$D$501,2,FALSE),"Unknown slot"))</x:f>
      </x:c>
      <x:c r="H56" s="15" t="str">
        <x:f>IF(G56="","",IFERROR(VLOOKUP(G56,Rooms!$A$2:$B$501,2,FALSE),"Unknown room"))</x:f>
      </x:c>
      <x:c r="I56" s="15" t="str">
        <x:f>IF(B56="","",IFERROR(VLOOKUP(B56,Slots!$A$2:$D$501,4,FALSE),"Unknown slot"))</x:f>
      </x:c>
      <x:c r="J56" s="15" t="str">
        <x:f>IF(B56="","",IFERROR(VLOOKUP(B56,Slots!$A$2:$E$501,5,FALSE),"Unknown slot"))</x:f>
      </x:c>
      <x:c r="K56" s="15" t="str">
        <x:f>IF(B56="","",IFERROR(VLOOKUP(B56,Slots!$A$2:$F$501,6,FALSE),"Unknown slot"))</x:f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IF(B57="","",IFERROR(VLOOKUP(B57,Slots!$A$2:$D$501,2,FALSE),"Unknown slot"))</x:f>
      </x:c>
      <x:c r="H57" s="15" t="str">
        <x:f>IF(G57="","",IFERROR(VLOOKUP(G57,Rooms!$A$2:$B$501,2,FALSE),"Unknown room"))</x:f>
      </x:c>
      <x:c r="I57" s="15" t="str">
        <x:f>IF(B57="","",IFERROR(VLOOKUP(B57,Slots!$A$2:$D$501,4,FALSE),"Unknown slot"))</x:f>
      </x:c>
      <x:c r="J57" s="15" t="str">
        <x:f>IF(B57="","",IFERROR(VLOOKUP(B57,Slots!$A$2:$E$501,5,FALSE),"Unknown slot"))</x:f>
      </x:c>
      <x:c r="K57" s="15" t="str">
        <x:f>IF(B57="","",IFERROR(VLOOKUP(B57,Slots!$A$2:$F$501,6,FALSE),"Unknown slot"))</x:f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IF(B58="","",IFERROR(VLOOKUP(B58,Slots!$A$2:$D$501,2,FALSE),"Unknown slot"))</x:f>
      </x:c>
      <x:c r="H58" s="15" t="str">
        <x:f>IF(G58="","",IFERROR(VLOOKUP(G58,Rooms!$A$2:$B$501,2,FALSE),"Unknown room"))</x:f>
      </x:c>
      <x:c r="I58" s="15" t="str">
        <x:f>IF(B58="","",IFERROR(VLOOKUP(B58,Slots!$A$2:$D$501,4,FALSE),"Unknown slot"))</x:f>
      </x:c>
      <x:c r="J58" s="15" t="str">
        <x:f>IF(B58="","",IFERROR(VLOOKUP(B58,Slots!$A$2:$E$501,5,FALSE),"Unknown slot"))</x:f>
      </x:c>
      <x:c r="K58" s="15" t="str">
        <x:f>IF(B58="","",IFERROR(VLOOKUP(B58,Slots!$A$2:$F$501,6,FALSE),"Unknown slot"))</x:f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IF(B59="","",IFERROR(VLOOKUP(B59,Slots!$A$2:$D$501,2,FALSE),"Unknown slot"))</x:f>
      </x:c>
      <x:c r="H59" s="15" t="str">
        <x:f>IF(G59="","",IFERROR(VLOOKUP(G59,Rooms!$A$2:$B$501,2,FALSE),"Unknown room"))</x:f>
      </x:c>
      <x:c r="I59" s="15" t="str">
        <x:f>IF(B59="","",IFERROR(VLOOKUP(B59,Slots!$A$2:$D$501,4,FALSE),"Unknown slot"))</x:f>
      </x:c>
      <x:c r="J59" s="15" t="str">
        <x:f>IF(B59="","",IFERROR(VLOOKUP(B59,Slots!$A$2:$E$501,5,FALSE),"Unknown slot"))</x:f>
      </x:c>
      <x:c r="K59" s="15" t="str">
        <x:f>IF(B59="","",IFERROR(VLOOKUP(B59,Slots!$A$2:$F$501,6,FALSE),"Unknown slot"))</x:f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IF(B60="","",IFERROR(VLOOKUP(B60,Slots!$A$2:$D$501,2,FALSE),"Unknown slot"))</x:f>
      </x:c>
      <x:c r="H60" s="15" t="str">
        <x:f>IF(G60="","",IFERROR(VLOOKUP(G60,Rooms!$A$2:$B$501,2,FALSE),"Unknown room"))</x:f>
      </x:c>
      <x:c r="I60" s="15" t="str">
        <x:f>IF(B60="","",IFERROR(VLOOKUP(B60,Slots!$A$2:$D$501,4,FALSE),"Unknown slot"))</x:f>
      </x:c>
      <x:c r="J60" s="15" t="str">
        <x:f>IF(B60="","",IFERROR(VLOOKUP(B60,Slots!$A$2:$E$501,5,FALSE),"Unknown slot"))</x:f>
      </x:c>
      <x:c r="K60" s="15" t="str">
        <x:f>IF(B60="","",IFERROR(VLOOKUP(B60,Slots!$A$2:$F$501,6,FALSE),"Unknown slot"))</x:f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IF(B61="","",IFERROR(VLOOKUP(B61,Slots!$A$2:$D$501,2,FALSE),"Unknown slot"))</x:f>
      </x:c>
      <x:c r="H61" s="15" t="str">
        <x:f>IF(G61="","",IFERROR(VLOOKUP(G61,Rooms!$A$2:$B$501,2,FALSE),"Unknown room"))</x:f>
      </x:c>
      <x:c r="I61" s="15" t="str">
        <x:f>IF(B61="","",IFERROR(VLOOKUP(B61,Slots!$A$2:$D$501,4,FALSE),"Unknown slot"))</x:f>
      </x:c>
      <x:c r="J61" s="15" t="str">
        <x:f>IF(B61="","",IFERROR(VLOOKUP(B61,Slots!$A$2:$E$501,5,FALSE),"Unknown slot"))</x:f>
      </x:c>
      <x:c r="K61" s="15" t="str">
        <x:f>IF(B61="","",IFERROR(VLOOKUP(B61,Slots!$A$2:$F$501,6,FALSE),"Unknown slot"))</x:f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IF(B62="","",IFERROR(VLOOKUP(B62,Slots!$A$2:$D$501,2,FALSE),"Unknown slot"))</x:f>
      </x:c>
      <x:c r="H62" s="15" t="str">
        <x:f>IF(G62="","",IFERROR(VLOOKUP(G62,Rooms!$A$2:$B$501,2,FALSE),"Unknown room"))</x:f>
      </x:c>
      <x:c r="I62" s="15" t="str">
        <x:f>IF(B62="","",IFERROR(VLOOKUP(B62,Slots!$A$2:$D$501,4,FALSE),"Unknown slot"))</x:f>
      </x:c>
      <x:c r="J62" s="15" t="str">
        <x:f>IF(B62="","",IFERROR(VLOOKUP(B62,Slots!$A$2:$E$501,5,FALSE),"Unknown slot"))</x:f>
      </x:c>
      <x:c r="K62" s="15" t="str">
        <x:f>IF(B62="","",IFERROR(VLOOKUP(B62,Slots!$A$2:$F$501,6,FALSE),"Unknown slot"))</x:f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IF(B63="","",IFERROR(VLOOKUP(B63,Slots!$A$2:$D$501,2,FALSE),"Unknown slot"))</x:f>
      </x:c>
      <x:c r="H63" s="15" t="str">
        <x:f>IF(G63="","",IFERROR(VLOOKUP(G63,Rooms!$A$2:$B$501,2,FALSE),"Unknown room"))</x:f>
      </x:c>
      <x:c r="I63" s="15" t="str">
        <x:f>IF(B63="","",IFERROR(VLOOKUP(B63,Slots!$A$2:$D$501,4,FALSE),"Unknown slot"))</x:f>
      </x:c>
      <x:c r="J63" s="15" t="str">
        <x:f>IF(B63="","",IFERROR(VLOOKUP(B63,Slots!$A$2:$E$501,5,FALSE),"Unknown slot"))</x:f>
      </x:c>
      <x:c r="K63" s="15" t="str">
        <x:f>IF(B63="","",IFERROR(VLOOKUP(B63,Slots!$A$2:$F$501,6,FALSE),"Unknown slot"))</x:f>
      </x:c>
    </x:row>
    <x:row r="64" ht="32" customHeight="1">
      <x:c r="A64" s="12"/>
      <x:c r="B64" s="12"/>
      <x:c r="C64" s="12"/>
      <x:c r="D64" s="12"/>
      <x:c r="E64" s="13"/>
      <x:c r="F64" s="12"/>
      <x:c r="G64" s="15" t="str">
        <x:f>IF(B64="","",IFERROR(VLOOKUP(B64,Slots!$A$2:$D$501,2,FALSE),"Unknown slot"))</x:f>
      </x:c>
      <x:c r="H64" s="15" t="str">
        <x:f>IF(G64="","",IFERROR(VLOOKUP(G64,Rooms!$A$2:$B$501,2,FALSE),"Unknown room"))</x:f>
      </x:c>
      <x:c r="I64" s="15" t="str">
        <x:f>IF(B64="","",IFERROR(VLOOKUP(B64,Slots!$A$2:$D$501,4,FALSE),"Unknown slot"))</x:f>
      </x:c>
      <x:c r="J64" s="15" t="str">
        <x:f>IF(B64="","",IFERROR(VLOOKUP(B64,Slots!$A$2:$E$501,5,FALSE),"Unknown slot"))</x:f>
      </x:c>
      <x:c r="K64" s="15" t="str">
        <x:f>IF(B64="","",IFERROR(VLOOKUP(B64,Slots!$A$2:$F$501,6,FALSE),"Unknown slot"))</x:f>
      </x:c>
    </x:row>
    <x:row r="65" ht="32" customHeight="1">
      <x:c r="A65" s="12"/>
      <x:c r="B65" s="12"/>
      <x:c r="C65" s="12"/>
      <x:c r="D65" s="12"/>
      <x:c r="E65" s="13"/>
      <x:c r="F65" s="12"/>
      <x:c r="G65" s="15" t="str">
        <x:f>IF(B65="","",IFERROR(VLOOKUP(B65,Slots!$A$2:$D$501,2,FALSE),"Unknown slot"))</x:f>
      </x:c>
      <x:c r="H65" s="15" t="str">
        <x:f>IF(G65="","",IFERROR(VLOOKUP(G65,Rooms!$A$2:$B$501,2,FALSE),"Unknown room"))</x:f>
      </x:c>
      <x:c r="I65" s="15" t="str">
        <x:f>IF(B65="","",IFERROR(VLOOKUP(B65,Slots!$A$2:$D$501,4,FALSE),"Unknown slot"))</x:f>
      </x:c>
      <x:c r="J65" s="15" t="str">
        <x:f>IF(B65="","",IFERROR(VLOOKUP(B65,Slots!$A$2:$E$501,5,FALSE),"Unknown slot"))</x:f>
      </x:c>
      <x:c r="K65" s="15" t="str">
        <x:f>IF(B65="","",IFERROR(VLOOKUP(B65,Slots!$A$2:$F$501,6,FALSE),"Unknown slot"))</x:f>
      </x:c>
    </x:row>
    <x:row r="66" ht="32" customHeight="1">
      <x:c r="A66" s="12"/>
      <x:c r="B66" s="12"/>
      <x:c r="C66" s="12"/>
      <x:c r="D66" s="12"/>
      <x:c r="E66" s="13"/>
      <x:c r="F66" s="12"/>
      <x:c r="G66" s="15" t="str">
        <x:f>IF(B66="","",IFERROR(VLOOKUP(B66,Slots!$A$2:$D$501,2,FALSE),"Unknown slot"))</x:f>
      </x:c>
      <x:c r="H66" s="15" t="str">
        <x:f>IF(G66="","",IFERROR(VLOOKUP(G66,Rooms!$A$2:$B$501,2,FALSE),"Unknown room"))</x:f>
      </x:c>
      <x:c r="I66" s="15" t="str">
        <x:f>IF(B66="","",IFERROR(VLOOKUP(B66,Slots!$A$2:$D$501,4,FALSE),"Unknown slot"))</x:f>
      </x:c>
      <x:c r="J66" s="15" t="str">
        <x:f>IF(B66="","",IFERROR(VLOOKUP(B66,Slots!$A$2:$E$501,5,FALSE),"Unknown slot"))</x:f>
      </x:c>
      <x:c r="K66" s="15" t="str">
        <x:f>IF(B66="","",IFERROR(VLOOKUP(B66,Slots!$A$2:$F$501,6,FALSE),"Unknown slot"))</x:f>
      </x:c>
    </x:row>
  </x:sheetData>
  <x:conditionalFormatting sqref="C2:C66">
    <x:cfRule type="expression" dxfId="0" priority="1">
      <x:formula>AND($A2&lt;&gt;"",$C2="")</x:formula>
    </x:cfRule>
  </x:conditionalFormatting>
  <x:conditionalFormatting sqref="B2:B66">
    <x:cfRule type="expression" dxfId="1" priority="2">
      <x:formula>AND($A2&lt;&gt;"",$B2&lt;&gt;"",COUNTIF(Slots!$A$2:$A$501,$B2)=0)</x:formula>
    </x:cfRule>
  </x:conditionalFormatting>
  <x:conditionalFormatting sqref="F2:F66">
    <x:cfRule type="expression" dxfId="2" priority="3">
      <x:formula>AND($A2&lt;&gt;"",$F2="true",COUNTIFS($B$2:$B$501,$B2,$E$2:$E$501,$E2,$F$2:$F$501,"true")&gt;1)</x:formula>
    </x:cfRule>
  </x:conditionalFormatting>
  <x:conditionalFormatting sqref="E2:E66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40a55f13114671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trigger:.vestibule-welcome-trigger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4" customHeight="1">
      <x:c r="A27" s="12" t="str">
        <x:v>geib-flute</x:v>
      </x:c>
      <x:c r="B27" s="12" t="str">
        <x:v>Geib Flute</x:v>
      </x:c>
      <x:c r="C27" s="12" t="str">
        <x:v>test</x:v>
      </x:c>
      <x:c r="D27" s="12" t="str">
        <x:v>detail</x:v>
      </x:c>
      <x:c r="E27" s="16" t="str"/>
      <x:c r="F27" s="12" t="str">
        <x:v>/assets/img/editorial/geib-flute-3ec90b3a3ce8.jpeg</x:v>
      </x:c>
      <x:c r="G27" s="12" t="str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  <x:row r="42" ht="32" customHeight="1">
      <x:c r="A42" s="12"/>
      <x:c r="B42" s="12"/>
      <x:c r="C42" s="12"/>
      <x:c r="D42" s="12"/>
      <x:c r="E42" s="16"/>
      <x:c r="F42" s="12"/>
      <x:c r="G42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3b4212ef594f6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  <x:col min="10" max="10" width="28" hidden="0" customWidth="1"/>
    <x:col min="11" max="11" width="28" hidden="0" customWidth="1"/>
    <x:col min="12" max="12" width="28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  <x:c r="J1" s="10" t="str">
        <x:v>revealText</x:v>
      </x:c>
      <x:c r="K1" s="10" t="str">
        <x:v>promptText</x:v>
      </x:c>
      <x:c r="L1" s="10" t="str">
        <x:v>published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  <x:c r="J2" s="12" t="str"/>
      <x:c r="K2" s="12" t="str"/>
      <x:c r="L2" s="12" t="str"/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  <x:c r="J3" s="12" t="str"/>
      <x:c r="K3" s="12" t="str"/>
      <x:c r="L3" s="12" t="str"/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  <x:c r="J4" s="12" t="str"/>
      <x:c r="K4" s="12" t="str"/>
      <x:c r="L4" s="12" t="str"/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  <x:c r="J5" s="12" t="str"/>
      <x:c r="K5" s="12" t="str"/>
      <x:c r="L5" s="12" t="str"/>
    </x:row>
    <x:row r="6" ht="92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  <x:c r="J6" s="12" t="str">
        <x:v>The earliest sample sits at the beginning of a long BCE-to-CE interval, making later workshop changes visibly closer together.</x:v>
      </x:c>
      <x:c r="K6" s="12" t="str">
        <x:v>What changes when centuries of material practice are shown on one continuous scale?</x:v>
      </x:c>
      <x:c r="L6" s="12" t="str">
        <x:v>true</x:v>
      </x:c>
    </x:row>
    <x:row r="7" ht="108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  <x:c r="J7" s="12" t="str">
        <x:v>The move into the CE range is represented by a positive chronology value while the visitor-facing label remains historical rather than technical.</x:v>
      </x:c>
      <x:c r="K7" s="12" t="str">
        <x:v>How can a shared material carry different meanings in different workshop settings?</x:v>
      </x:c>
      <x:c r="L7" s="12" t="str">
        <x:v>true</x:v>
      </x:c>
    </x:row>
    <x:row r="8" ht="92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  <x:c r="J8" s="12" t="str">
        <x:v>This later sample is separated from 500 CE by far less time than the BCE-to-CE span at the start of the activity.</x:v>
      </x:c>
      <x:c r="K8" s="12" t="str">
        <x:v>What might a proportional gap reveal that an equally spaced list would hide?</x:v>
      </x:c>
      <x:c r="L8" s="12" t="str">
        <x:v>true</x:v>
      </x:c>
    </x:row>
    <x:row r="9" ht="92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  <x:c r="J9" s="12" t="str">
        <x:v>The final card anchors the end of the linear scale and makes the relative distances among the four teaching samples visible.</x:v>
      </x:c>
      <x:c r="K9" s="12" t="str">
        <x:v>When does a new technique change the social meaning of a material?</x:v>
      </x:c>
      <x:c r="L9" s="12" t="str">
        <x:v>true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  <x:c r="J10" s="12" t="str"/>
      <x:c r="K10" s="12" t="str"/>
      <x:c r="L10" s="12" t="str"/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  <x:c r="J11" s="12" t="str"/>
      <x:c r="K11" s="12" t="str"/>
      <x:c r="L11" s="12" t="str"/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  <x:c r="J12" s="12" t="str"/>
      <x:c r="K12" s="12" t="str"/>
      <x:c r="L12" s="12" t="str"/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  <x:c r="J13" s="12" t="str"/>
      <x:c r="K13" s="12" t="str"/>
      <x:c r="L13" s="12" t="str"/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  <x:c r="J14" s="12" t="str">
        <x:v>The earliest part of the axis represents long ecological change before modern elephants or human ivory trade.</x:v>
      </x:c>
      <x:c r="K14" s="12" t="str">
        <x:v>What evidence can show environmental change across this much time?</x:v>
      </x:c>
      <x:c r="L14" s="12" t="str">
        <x:v>true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  <x:c r="J15" s="12" t="str">
        <x:v>Dispersal links fossil evidence to changing habitats and migration routes rather than a single fixed homeland.</x:v>
      </x:c>
      <x:c r="K15" s="12" t="str">
        <x:v>How might movement across regions change the materials and stories available to people?</x:v>
      </x:c>
      <x:c r="L15" s="12" t="str">
        <x:v>true</x:v>
      </x:c>
    </x:row>
    <x:row r="16" ht="76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  <x:c r="J16" s="12" t="str">
        <x:v>The compressed late band still covers millions of years of diverse proboscidean lives and environments.</x:v>
      </x:c>
      <x:c r="K16" s="12" t="str">
        <x:v>What is lost when a long period is treated as a single moment?</x:v>
      </x:c>
      <x:c r="L16" s="12" t="str">
        <x:v>true</x:v>
      </x:c>
    </x:row>
    <x:row r="17" ht="92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  <x:c r="J17" s="12" t="str">
        <x:v>Late extinctions bring ecological pressures and human action into the same interpretive frame without reducing either to one cause.</x:v>
      </x:c>
      <x:c r="K17" s="12" t="str">
        <x:v>How should uncertainty shape the stories we tell about extinction and extraction?</x:v>
      </x:c>
      <x:c r="L17" s="12" t="str">
        <x:v>true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  <x:c r="J18" s="12"/>
      <x:c r="K18" s="12"/>
      <x:c r="L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  <x:c r="J19" s="12"/>
      <x:c r="K19" s="12"/>
      <x:c r="L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  <x:c r="J20" s="12"/>
      <x:c r="K20" s="12"/>
      <x:c r="L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  <x:c r="J21" s="12"/>
      <x:c r="K21" s="12"/>
      <x:c r="L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  <x:c r="J22" s="12"/>
      <x:c r="K22" s="12"/>
      <x:c r="L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  <x:c r="J23" s="12"/>
      <x:c r="K23" s="12"/>
      <x:c r="L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  <x:c r="J24" s="12"/>
      <x:c r="K24" s="12"/>
      <x:c r="L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  <x:c r="J25" s="12"/>
      <x:c r="K25" s="12"/>
      <x:c r="L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  <x:c r="J26" s="12"/>
      <x:c r="K26" s="12"/>
      <x:c r="L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  <x:c r="J27" s="12"/>
      <x:c r="K27" s="12"/>
      <x:c r="L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  <x:c r="J28" s="12"/>
      <x:c r="K28" s="12"/>
      <x:c r="L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  <x:c r="J29" s="12"/>
      <x:c r="K29" s="12"/>
      <x:c r="L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  <x:c r="J30" s="12"/>
      <x:c r="K30" s="12"/>
      <x:c r="L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  <x:c r="J31" s="12"/>
      <x:c r="K31" s="12"/>
      <x:c r="L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  <x:c r="J32" s="12"/>
      <x:c r="K32" s="12"/>
      <x:c r="L32" s="12"/>
    </x:row>
  </x:sheetData>
  <x:dataValidations count="2">
    <x:dataValidation type="list" sqref="L2:L501">
      <x:formula1>"true,false"</x:formula1>
    </x:dataValidation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665164329249e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  <x:col min="7" max="7" width="3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  <x:c r="G1" s="10" t="str">
        <x:v>title</x:v>
      </x:c>
      <x:c r="H1" s="10" t="str">
        <x:v>subtitle</x:v>
      </x:c>
      <x:c r="I1" s="10" t="str">
        <x:v>deep_question</x:v>
      </x:c>
      <x:c r="J1" s="10" t="str">
        <x:v>intro_text</x:v>
      </x:c>
      <x:c r="K1" s="11" t="str">
        <x:v>start_date</x:v>
      </x:c>
      <x:c r="L1" s="11" t="str">
        <x:v>end_date</x:v>
      </x:c>
      <x:c r="M1" s="10" t="str">
        <x:v>scale_mode</x:v>
      </x:c>
      <x:c r="N1" s="10" t="str">
        <x:v>scale_config</x:v>
      </x:c>
      <x:c r="O1" s="10" t="str">
        <x:v>published</x:v>
      </x:c>
      <x:c r="P1" s="10" t="str">
        <x:v>completion_reflection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  <x:c r="G2" s="12" t="str"/>
      <x:c r="H2" s="12" t="str"/>
      <x:c r="I2" s="12" t="str"/>
      <x:c r="J2" s="12" t="str"/>
      <x:c r="K2" s="13" t="str"/>
      <x:c r="L2" s="13" t="str"/>
      <x:c r="M2" s="12" t="str"/>
      <x:c r="N2" s="12" t="str"/>
      <x:c r="O2" s="12" t="str"/>
      <x:c r="P2" s="12" t="str"/>
    </x:row>
    <x:row r="3" ht="124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  <x:c r="G3" s="12" t="str">
        <x:v>Ivory Through the Ages</x:v>
      </x:c>
      <x:c r="H3" s="12" t="str">
        <x:v>Material practice across BCE and CE</x:v>
      </x:c>
      <x:c r="I3" s="12" t="str">
        <x:v>How do changes in technique and display alter what ivory means across time?</x:v>
      </x:c>
      <x:c r="J3" s="12" t="str">
        <x:v>Place the teaching samples on a continuous BCE-to-CE scale, then consider how material practice changes without assigning these histories to the illustrated room objects.</x:v>
      </x:c>
      <x:c r="K3" s="13" t="n">
        <x:v>-2000</x:v>
      </x:c>
      <x:c r="L3" s="13" t="n">
        <x:v>1800</x:v>
      </x:c>
      <x:c r="M3" s="12" t="str">
        <x:v>linear</x:v>
      </x:c>
      <x:c r="N3" s="12" t="str"/>
      <x:c r="O3" s="12" t="str">
        <x:v>true</x:v>
      </x:c>
      <x:c r="P3" s="12" t="str">
        <x:v>With the full scale visible, compare the long early interval with the later changes in workshop practice and display.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  <x:c r="G4" s="12" t="str"/>
      <x:c r="H4" s="12" t="str"/>
      <x:c r="I4" s="12" t="str"/>
      <x:c r="J4" s="12" t="str"/>
      <x:c r="K4" s="13" t="str"/>
      <x:c r="L4" s="13" t="str"/>
      <x:c r="M4" s="12" t="str"/>
      <x:c r="N4" s="12" t="str"/>
      <x:c r="O4" s="12" t="str"/>
      <x:c r="P4" s="12" t="str"/>
    </x:row>
    <x:row r="5" ht="92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  <x:c r="G5" s="12" t="str">
        <x:v>Ivory Through Time</x:v>
      </x:c>
      <x:c r="H5" s="12" t="str">
        <x:v>Proboscidean change across deep time</x:v>
      </x:c>
      <x:c r="I5" s="12" t="str">
        <x:v>How do changing environments and human relationships reshape the meaning of ivory as a material?</x:v>
      </x:c>
      <x:c r="J5" s="12" t="str">
        <x:v>Place each period, then use the expanding scale to consider the ecological and social changes that make ivory possible.</x:v>
      </x:c>
      <x:c r="K5" s="13" t="n">
        <x:v>-60000000</x:v>
      </x:c>
      <x:c r="L5" s="13" t="n">
        <x:v>0</x:v>
      </x:c>
      <x:c r="M5" s="12" t="str">
        <x:v>guided</x:v>
      </x:c>
      <x:c r="N5" s="12" t="str">
        <x:v>{"segments":[{"start":-60000000,"end":-2600000,"weight":0.72},{"start":-2600000,"end":0,"weight":0.28}]}</x:v>
      </x:c>
      <x:c r="O5" s="12" t="str">
        <x:v>true</x:v>
      </x:c>
      <x:c r="P5" s="12" t="str">
        <x:v>With the full scale visible, return to the question: whose lives and environments made each later use of ivory possible?</x:v>
      </x:c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3"/>
      <x:c r="L6" s="13"/>
      <x:c r="M6" s="12"/>
      <x:c r="N6" s="12"/>
      <x:c r="O6" s="12"/>
      <x:c r="P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3"/>
      <x:c r="L7" s="13"/>
      <x:c r="M7" s="12"/>
      <x:c r="N7" s="12"/>
      <x:c r="O7" s="12"/>
      <x:c r="P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3"/>
      <x:c r="L8" s="13"/>
      <x:c r="M8" s="12"/>
      <x:c r="N8" s="12"/>
      <x:c r="O8" s="12"/>
      <x:c r="P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3"/>
      <x:c r="L9" s="13"/>
      <x:c r="M9" s="12"/>
      <x:c r="N9" s="12"/>
      <x:c r="O9" s="12"/>
      <x:c r="P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3"/>
      <x:c r="L10" s="13"/>
      <x:c r="M10" s="12"/>
      <x:c r="N10" s="12"/>
      <x:c r="O10" s="12"/>
      <x:c r="P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3"/>
      <x:c r="L11" s="13"/>
      <x:c r="M11" s="12"/>
      <x:c r="N11" s="12"/>
      <x:c r="O11" s="12"/>
      <x:c r="P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3"/>
      <x:c r="L12" s="13"/>
      <x:c r="M12" s="12"/>
      <x:c r="N12" s="12"/>
      <x:c r="O12" s="12"/>
      <x:c r="P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3"/>
      <x:c r="L13" s="13"/>
      <x:c r="M13" s="12"/>
      <x:c r="N13" s="12"/>
      <x:c r="O13" s="12"/>
      <x:c r="P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3"/>
      <x:c r="L14" s="13"/>
      <x:c r="M14" s="12"/>
      <x:c r="N14" s="12"/>
      <x:c r="O14" s="12"/>
      <x:c r="P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3"/>
      <x:c r="L15" s="13"/>
      <x:c r="M15" s="12"/>
      <x:c r="N15" s="12"/>
      <x:c r="O15" s="12"/>
      <x:c r="P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3"/>
      <x:c r="L16" s="13"/>
      <x:c r="M16" s="12"/>
      <x:c r="N16" s="12"/>
      <x:c r="O16" s="12"/>
      <x:c r="P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3"/>
      <x:c r="L17" s="13"/>
      <x:c r="M17" s="12"/>
      <x:c r="N17" s="12"/>
      <x:c r="O17" s="12"/>
      <x:c r="P17" s="12"/>
    </x:row>
    <x:row r="18" ht="32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3"/>
      <x:c r="L18" s="13"/>
      <x:c r="M18" s="12"/>
      <x:c r="N18" s="12"/>
      <x:c r="O18" s="12"/>
      <x:c r="P18" s="12"/>
    </x:row>
    <x:row r="19" ht="32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3"/>
      <x:c r="L19" s="13"/>
      <x:c r="M19" s="12"/>
      <x:c r="N19" s="12"/>
      <x:c r="O19" s="12"/>
      <x:c r="P19" s="12"/>
    </x:row>
    <x:row r="20" ht="32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3"/>
      <x:c r="L20" s="13"/>
      <x:c r="M20" s="12"/>
      <x:c r="N20" s="12"/>
      <x:c r="O20" s="12"/>
      <x:c r="P20" s="12"/>
    </x:row>
  </x:sheetData>
  <x:dataValidations count="1">
    <x:dataValidation type="list" sqref="O2:O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13f587aa324fd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14a63a042a469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44" customHeight="1">
      <x:c r="A33" s="17" t="str">
        <x:v>natural_history_timeline_01</x:v>
      </x:c>
      <x:c r="B33" s="17" t="str">
        <x:v>natural_history</x:v>
      </x:c>
      <x:c r="C33" s="17" t="str">
        <x:v>poster</x:v>
      </x:c>
      <x:c r="D33" s="17" t="str">
        <x:v>Ivory Through Time poster</x:v>
      </x:c>
      <x:c r="E33" s="17" t="str">
        <x:v>timeline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>
        <x:v>Arrange the Evidence is the only visitor-facing Natural History timeline activity.</x:v>
      </x:c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44" customHeight="1">
      <x:c r="A35" s="17" t="str">
        <x:v>natural_history_timeline_02</x:v>
      </x:c>
      <x:c r="B35" s="17" t="str">
        <x:v>natural_history</x:v>
      </x:c>
      <x:c r="C35" s="17" t="str">
        <x:v>background_wall</x:v>
      </x:c>
      <x:c r="D35" s="17" t="str">
        <x:v>Background wall curator mount</x:v>
      </x:c>
      <x:c r="E35" s="17" t="str">
        <x:v>collection</x:v>
      </x:c>
      <x:c r="F35" s="18" t="n">
        <x:v>8</x:v>
      </x:c>
      <x:c r="G35" s="16" t="str">
        <x:v>natural_history_timeline_02_anchor</x:v>
      </x:c>
      <x:c r="H35" s="17" t="str">
        <x:v>true</x:v>
      </x:c>
      <x:c r="I35" s="17" t="str">
        <x:v>Available for curator-assigned research and media; no activity is attached.</x:v>
      </x:c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natural_history_table_01</x:v>
      </x:c>
      <x:c r="B37" s="17" t="str">
        <x:v>natural_history</x:v>
      </x:c>
      <x:c r="C37" s="17" t="str">
        <x:v>foreground_table</x:v>
      </x:c>
      <x:c r="D37" s="17" t="str">
        <x:v>Foreground table left</x:v>
      </x:c>
      <x:c r="E37" s="17" t="str">
        <x:v>collection</x:v>
      </x:c>
      <x:c r="F37" s="18" t="n">
        <x:v>4</x:v>
      </x:c>
      <x:c r="G37" s="16" t="str">
        <x:v>natural_history_table_01_anchor</x:v>
      </x:c>
      <x:c r="H37" s="17" t="str">
        <x:v>true</x:v>
      </x:c>
      <x:c r="I37" s="17" t="str">
        <x:v>Curator-editable foreground tabletop mount.</x:v>
      </x:c>
      <x:c r="J37" s="17" t="str"/>
    </x:row>
    <x:row r="38" ht="34" customHeight="1">
      <x:c r="A38" s="17" t="str">
        <x:v>natural_history_table_02</x:v>
      </x:c>
      <x:c r="B38" s="17" t="str">
        <x:v>natural_history</x:v>
      </x:c>
      <x:c r="C38" s="17" t="str">
        <x:v>foreground_table</x:v>
      </x:c>
      <x:c r="D38" s="17" t="str">
        <x:v>Foreground table right</x:v>
      </x:c>
      <x:c r="E38" s="17" t="str">
        <x:v>collection</x:v>
      </x:c>
      <x:c r="F38" s="18" t="n">
        <x:v>4</x:v>
      </x:c>
      <x:c r="G38" s="16" t="str">
        <x:v>natural_history_table_02_anchor</x:v>
      </x:c>
      <x:c r="H38" s="17" t="str">
        <x:v>true</x:v>
      </x:c>
      <x:c r="I38" s="17" t="str">
        <x:v>Curator-editable foreground tabletop mount.</x:v>
      </x:c>
      <x:c r="J38" s="17" t="str"/>
    </x:row>
    <x:row r="39" ht="34" customHeight="1">
      <x:c r="A39" s="17" t="str">
        <x:v>conservators_office_terminal_01</x:v>
      </x:c>
      <x:c r="B39" s="17" t="str">
        <x:v>conservators_office</x:v>
      </x:c>
      <x:c r="C39" s="17" t="str">
        <x:v>terminal</x:v>
      </x:c>
      <x:c r="D39" s="17" t="str">
        <x:v>Desk terminal</x:v>
      </x:c>
      <x:c r="E39" s="17" t="str">
        <x:v>tool</x:v>
      </x:c>
      <x:c r="F39" s="18" t="n">
        <x:v>1</x:v>
      </x:c>
      <x:c r="G39" s="16" t="str">
        <x:v>conservators_office_terminal_01_anchor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conservators_office_shelves_01</x:v>
      </x:c>
      <x:c r="B40" s="17" t="str">
        <x:v>conservators_office</x:v>
      </x:c>
      <x:c r="C40" s="17" t="str">
        <x:v>shelves</x:v>
      </x:c>
      <x:c r="D40" s="17" t="str">
        <x:v>Left shelving</x:v>
      </x:c>
      <x:c r="E40" s="17" t="str">
        <x:v>collection</x:v>
      </x:c>
      <x:c r="F40" s="18" t="n">
        <x:v>8</x:v>
      </x:c>
      <x:c r="G40" s="16" t="str">
        <x:v>conservators_office_shelves_01_anchor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conservators_office_shelves_02</x:v>
      </x:c>
      <x:c r="B41" s="17" t="str">
        <x:v>conservators_office</x:v>
      </x:c>
      <x:c r="C41" s="17" t="str">
        <x:v>shelves</x:v>
      </x:c>
      <x:c r="D41" s="17" t="str">
        <x:v>Rear shelving</x:v>
      </x:c>
      <x:c r="E41" s="17" t="str">
        <x:v>collection</x:v>
      </x:c>
      <x:c r="F41" s="18" t="n">
        <x:v>8</x:v>
      </x:c>
      <x:c r="G41" s="16" t="str">
        <x:v>conservators_office_shelves_02_anchor</x:v>
      </x:c>
      <x:c r="H41" s="17" t="str">
        <x:v>true</x:v>
      </x:c>
      <x:c r="I41" s="17" t="str"/>
      <x:c r="J41" s="17" t="str"/>
    </x:row>
    <x:row r="42" ht="34" customHeight="1">
      <x:c r="A42" s="17" t="str">
        <x:v>conservators_office_shelves_03</x:v>
      </x:c>
      <x:c r="B42" s="17" t="str">
        <x:v>conservators_office</x:v>
      </x:c>
      <x:c r="C42" s="17" t="str">
        <x:v>shelves</x:v>
      </x:c>
      <x:c r="D42" s="17" t="str">
        <x:v>Right shelving</x:v>
      </x:c>
      <x:c r="E42" s="17" t="str">
        <x:v>collection</x:v>
      </x:c>
      <x:c r="F42" s="18" t="n">
        <x:v>8</x:v>
      </x:c>
      <x:c r="G42" s="16" t="str">
        <x:v>conservators_office_shelves_03_anchor</x:v>
      </x:c>
      <x:c r="H42" s="17" t="str">
        <x:v>true</x:v>
      </x:c>
      <x:c r="I42" s="17" t="str"/>
      <x:c r="J42" s="17" t="str"/>
    </x:row>
    <x:row r="43" ht="34" customHeight="1">
      <x:c r="A43" s="17" t="str">
        <x:v>conservators_office_panel_01</x:v>
      </x:c>
      <x:c r="B43" s="17" t="str">
        <x:v>conservators_office</x:v>
      </x:c>
      <x:c r="C43" s="17" t="str">
        <x:v>panel</x:v>
      </x:c>
      <x:c r="D43" s="17" t="str">
        <x:v>Elephant wall panel</x:v>
      </x:c>
      <x:c r="E43" s="17" t="str">
        <x:v>detail</x:v>
      </x:c>
      <x:c r="F43" s="18" t="n">
        <x:v>1</x:v>
      </x:c>
      <x:c r="G43" s="16" t="str">
        <x:v>conservators_office_panel_01_anchor</x:v>
      </x:c>
      <x:c r="H43" s="17" t="str">
        <x:v>true</x:v>
      </x:c>
      <x:c r="I43" s="17" t="str"/>
      <x:c r="J43" s="17" t="str"/>
    </x:row>
    <x:row r="44" ht="44" customHeight="1">
      <x:c r="A44" s="17" t="str">
        <x:v>lab_bench_01</x:v>
      </x:c>
      <x:c r="B44" s="17" t="str">
        <x:v>lab</x:v>
      </x:c>
      <x:c r="C44" s="17" t="str">
        <x:v>bench</x:v>
      </x:c>
      <x:c r="D44" s="17" t="str">
        <x:v>Analysis bench</x:v>
      </x:c>
      <x:c r="E44" s="17" t="str">
        <x:v>collection</x:v>
      </x:c>
      <x:c r="F44" s="18" t="n">
        <x:v>8</x:v>
      </x:c>
      <x:c r="G44" s="16" t="str">
        <x:v>lab_bench_01_anchor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lab_equipment_01</x:v>
      </x:c>
      <x:c r="B45" s="17" t="str">
        <x:v>lab</x:v>
      </x:c>
      <x:c r="C45" s="17" t="str">
        <x:v>equipment</x:v>
      </x:c>
      <x:c r="D45" s="17" t="str">
        <x:v>Equipment</x:v>
      </x:c>
      <x:c r="E45" s="17" t="str">
        <x:v>collection</x:v>
      </x:c>
      <x:c r="F45" s="18" t="n">
        <x:v>8</x:v>
      </x:c>
      <x:c r="G45" s="16" t="str">
        <x:v>lab_equipment_01_anchor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44" customHeight="1">
      <x:c r="A46" s="17" t="str">
        <x:v>lab_cabinet_01</x:v>
      </x:c>
      <x:c r="B46" s="17" t="str">
        <x:v>lab</x:v>
      </x:c>
      <x:c r="C46" s="17" t="str">
        <x:v>cabinet</x:v>
      </x:c>
      <x:c r="D46" s="17" t="str">
        <x:v>Left cabinet</x:v>
      </x:c>
      <x:c r="E46" s="17" t="str">
        <x:v>collection</x:v>
      </x:c>
      <x:c r="F46" s="18" t="n">
        <x:v>8</x:v>
      </x:c>
      <x:c r="G46" s="16" t="str">
        <x:v>lab_cabinet_01_anchor</x:v>
      </x:c>
      <x:c r="H46" s="17" t="str">
        <x:v>true</x:v>
      </x:c>
      <x:c r="I46" s="17" t="str">
        <x:v>Baseline CSS furnishing; no illustrated replacement authorized as a redesign.</x:v>
      </x:c>
      <x:c r="J46" s="17" t="str"/>
    </x:row>
    <x:row r="47" ht="44" customHeight="1">
      <x:c r="A47" s="17" t="str">
        <x:v>lab_cabinet_02</x:v>
      </x:c>
      <x:c r="B47" s="17" t="str">
        <x:v>lab</x:v>
      </x:c>
      <x:c r="C47" s="17" t="str">
        <x:v>cabinet</x:v>
      </x:c>
      <x:c r="D47" s="17" t="str">
        <x:v>Right cabinet</x:v>
      </x:c>
      <x:c r="E47" s="17" t="str">
        <x:v>collection</x:v>
      </x:c>
      <x:c r="F47" s="18" t="n">
        <x:v>8</x:v>
      </x:c>
      <x:c r="G47" s="16" t="str">
        <x:v>lab_cabinet_02_anchor</x:v>
      </x:c>
      <x:c r="H47" s="17" t="str">
        <x:v>true</x:v>
      </x:c>
      <x:c r="I47" s="17" t="str">
        <x:v>Baseline CSS furnishing; no illustrated replacement authorized as a redesign.</x:v>
      </x:c>
      <x:c r="J47" s="17" t="str"/>
    </x:row>
    <x:row r="48" ht="34" customHeight="1">
      <x:c r="A48" s="17" t="str">
        <x:v>lab_attic_context_01</x:v>
      </x:c>
      <x:c r="B48" s="17" t="str">
        <x:v>lab</x:v>
      </x:c>
      <x:c r="C48" s="17" t="str">
        <x:v>attic</x:v>
      </x:c>
      <x:c r="D48" s="17" t="str">
        <x:v>Attic access context</x:v>
      </x:c>
      <x:c r="E48" s="17" t="str">
        <x:v>tool</x:v>
      </x:c>
      <x:c r="F48" s="18" t="n">
        <x:v>1</x:v>
      </x:c>
      <x:c r="G48" s="16" t="str">
        <x:v>lab_attic_context_01_anchor</x:v>
      </x:c>
      <x:c r="H48" s="17" t="str">
        <x:v>true</x:v>
      </x:c>
      <x:c r="I48" s="17" t="str"/>
      <x:c r="J48" s="17" t="str"/>
    </x:row>
    <x:row r="49" ht="34" customHeight="1">
      <x:c r="A49" s="17" t="str">
        <x:v>gallery_detail_01</x:v>
      </x:c>
      <x:c r="B49" s="17" t="str">
        <x:v>gallery</x:v>
      </x:c>
      <x:c r="C49" s="17" t="str">
        <x:v>authoring</x:v>
      </x:c>
      <x:c r="D49" s="17" t="str">
        <x:v>New access point</x:v>
      </x:c>
      <x:c r="E49" s="17" t="str">
        <x:v>detail</x:v>
      </x:c>
      <x:c r="F49" s="18" t="n">
        <x:v>1</x:v>
      </x:c>
      <x:c r="G49" s="16" t="str">
        <x:v>gallery_detail_01_anchor</x:v>
      </x:c>
      <x:c r="H49" s="17" t="str">
        <x:v>true</x:v>
      </x:c>
      <x:c r="I49" s="17" t="str">
        <x:v>Prepared by visual room authoring.</x:v>
      </x:c>
      <x:c r="J49" s="17" t="str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  <x:row r="62" ht="32" customHeight="1">
      <x:c r="A62" s="17"/>
      <x:c r="B62" s="17"/>
      <x:c r="C62" s="17"/>
      <x:c r="D62" s="17"/>
      <x:c r="E62" s="17"/>
      <x:c r="F62" s="18"/>
      <x:c r="G62" s="16"/>
      <x:c r="H62" s="17"/>
      <x:c r="I62" s="17"/>
      <x:c r="J62" s="17"/>
    </x:row>
    <x:row r="63" ht="32" customHeight="1">
      <x:c r="A63" s="17"/>
      <x:c r="B63" s="17"/>
      <x:c r="C63" s="17"/>
      <x:c r="D63" s="17"/>
      <x:c r="E63" s="17"/>
      <x:c r="F63" s="18"/>
      <x:c r="G63" s="16"/>
      <x:c r="H63" s="17"/>
      <x:c r="I63" s="17"/>
      <x:c r="J63" s="17"/>
    </x:row>
    <x:row r="64" ht="32" customHeight="1">
      <x:c r="A64" s="17"/>
      <x:c r="B64" s="17"/>
      <x:c r="C64" s="17"/>
      <x:c r="D64" s="17"/>
      <x:c r="E64" s="17"/>
      <x:c r="F64" s="18"/>
      <x:c r="G64" s="16"/>
      <x:c r="H64" s="17"/>
      <x:c r="I64" s="17"/>
      <x:c r="J64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ae393b591d466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714ef859380e4d27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48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a3ecc1379c5724e2ab4022bbada405f4d6d2a1894c4b53de24c43b6d7563f5e4</x:v>
      </x:c>
    </x:row>
    <x:row r="24" ht="58" customHeight="1">
      <x:c r="A24" s="24" t="str">
        <x:v>_data/room_content.csv</x:v>
      </x:c>
      <x:c r="B24" s="24" t="str">
        <x:v>f5964f9accabcc3a9a94d6ab5737bed1542febb3a818df7d153798bcea3fde48</x:v>
      </x:c>
    </x:row>
    <x:row r="25" ht="58" customHeight="1">
      <x:c r="A25" s="24" t="str">
        <x:v>_data/timeline_events.csv</x:v>
      </x:c>
      <x:c r="B25" s="24" t="str">
        <x:v>5d876d5c0dd733dea511a8025f7035cfb8c0c4c273daba531a7a87adbfce0a56</x:v>
      </x:c>
    </x:row>
    <x:row r="26" ht="58" customHeight="1">
      <x:c r="A26" s="24" t="str">
        <x:v>_data/room_timelines.csv</x:v>
      </x:c>
      <x:c r="B26" s="24" t="str">
        <x:v>ba0aaf6126b0af0863e001f0dcdd4d66c0bb5ccfa0bdb44d6797024130fea539</x:v>
      </x:c>
    </x:row>
    <x:row r="27" ht="58" customHeight="1">
      <x:c r="A27" s="24" t="str">
        <x:v>_data/rooms.csv</x:v>
      </x:c>
      <x:c r="B27" s="24" t="str">
        <x:v>8614c904f8ec00274a1b8c7198e5910f350e761c0cdf5203cb48afce61557b35</x:v>
      </x:c>
    </x:row>
    <x:row r="28" ht="58" customHeight="1">
      <x:c r="A28" s="24" t="str">
        <x:v>_data/exhibit_slots.csv</x:v>
      </x:c>
      <x:c r="B28" s="24" t="str">
        <x:v>b1168bb22dc797e86e07fea457d1e410e24b9789464eb5d4198025335e43a270</x:v>
      </x:c>
    </x:row>
    <x:row r="29" ht="58" customHeight="1">
      <x:c r="A29" s="24" t="str">
        <x:v>_data/demo-metadata.csv</x:v>
      </x:c>
      <x:c r="B29" s="24" t="str">
        <x:v>2e46b740c50d02d3a29a3f0da94d21ad77f4c8a800d9106c3fc64b631c107af1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28" t="str">
        <x:v>Add or update visitor-facing exhibit items. Use this view to understand the current content; make website changes in the backend Content and Placements sheets until the guided import workflow is introduced.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1" t="str">
        <x:v>Room</x:v>
      </x:c>
      <x:c r="B3" s="31" t="str">
        <x:v>Where should it appear?</x:v>
      </x:c>
      <x:c r="C3" s="31" t="str">
        <x:v>Item title</x:v>
      </x:c>
      <x:c r="D3" s="31" t="str">
        <x:v>Description</x:v>
      </x:c>
      <x:c r="E3" s="31" t="str">
        <x:v>Image</x:v>
      </x:c>
      <x:c r="F3" s="31" t="str">
        <x:v>Display type</x:v>
      </x:c>
      <x:c r="G3" s="31" t="str">
        <x:v>Show to visitors?</x:v>
      </x:c>
      <x:c r="H3" s="31" t="str">
        <x:v>Item Name / ID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Gallery Intro</x:v>
      </x:c>
      <x:c r="D4" s="35" t="str">
        <x:v>Featured research: Barberini Ivory, Roman Wall Sconce, and Susanna and the Elders. The illustrated reliefs and fan remain fixed scenery until their identities are confirmed.</x:v>
      </x:c>
      <x:c r="E4" s="35" t="str"/>
      <x:c r="F4" s="35" t="str">
        <x:v>detail</x:v>
      </x:c>
      <x:c r="G4" s="35" t="str">
        <x:v>Yes</x:v>
      </x:c>
      <x:c r="H4" s="35" t="str">
        <x:v>gallery_intro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Conservation Lab Intro</x:v>
      </x:c>
      <x:c r="D5" s="35" t="str">
        <x:v>Ivory as a medium: workmanship, materials, artistic traditions, and conservation evidence. Compare the collection on the central table with histories across centuries.</x:v>
      </x:c>
      <x:c r="E5" s="35" t="str"/>
      <x:c r="F5" s="35" t="str">
        <x:v>detail</x:v>
      </x:c>
      <x:c r="G5" s="35" t="str">
        <x:v>Yes</x:v>
      </x:c>
      <x:c r="H5" s="35" t="str">
        <x:v>conservation_lab_intro</x:v>
      </x:c>
    </x:row>
    <x:row r="6" ht="34" customHeight="1">
      <x:c r="A6" s="35" t="str">
        <x:v>vestibule</x:v>
      </x:c>
      <x:c r="B6" s="35" t="str">
        <x:v>Welcome and check-in</x:v>
      </x:c>
      <x:c r="C6" s="35" t="str">
        <x:v>Welcome to ArchIvory</x:v>
      </x:c>
      <x:c r="D6" s="35" t="str">
        <x:v>Welcome and check-in.</x:v>
      </x:c>
      <x:c r="E6" s="35" t="str"/>
      <x:c r="F6" s="35" t="str">
        <x:v>tool</x:v>
      </x:c>
      <x:c r="G6" s="35" t="str">
        <x:v>Yes</x:v>
      </x:c>
      <x:c r="H6" s="35" t="str">
        <x:v>welcome-sequence</x:v>
      </x:c>
    </x:row>
    <x:row r="7" ht="34" customHeight="1">
      <x:c r="A7" s="35" t="str">
        <x:v>gallery</x:v>
      </x:c>
      <x:c r="B7" s="35" t="str">
        <x:v>Near left-wall relief</x:v>
      </x:c>
      <x:c r="C7" s="35" t="str">
        <x:v>Illustrated relief — identity unverified</x:v>
      </x:c>
      <x:c r="D7" s="35" t="str">
        <x:v>This carving is part of the room illustration. Its identity has not been verified against a collection record. The research below is comparative, not a provenance claim.</x:v>
      </x:c>
      <x:c r="E7" s="35" t="str"/>
      <x:c r="F7" s="35" t="str">
        <x:v>detail</x:v>
      </x:c>
      <x:c r="G7" s="35" t="str">
        <x:v>No</x:v>
      </x:c>
      <x:c r="H7" s="35" t="str">
        <x:v>gallery-fixed-wall_01</x:v>
      </x:c>
    </x:row>
    <x:row r="8" ht="34" customHeight="1">
      <x:c r="A8" s="35" t="str">
        <x:v>gallery</x:v>
      </x:c>
      <x:c r="B8" s="35" t="str">
        <x:v>Near left-wall relief</x:v>
      </x:c>
      <x:c r="C8" s="35" t="str">
        <x:v>Susanna and the Elders</x:v>
      </x:c>
      <x:c r="D8" s="35" t="str">
        <x:v>Existing Gallery research on the carving by Van Bossuit.</x:v>
      </x:c>
      <x:c r="E8" s="35" t="str"/>
      <x:c r="F8" s="35" t="str">
        <x:v>detail</x:v>
      </x:c>
      <x:c r="G8" s="35" t="str">
        <x:v>Yes</x:v>
      </x:c>
      <x:c r="H8" s="35" t="str">
        <x:v>art-susanna-sequence</x:v>
      </x:c>
    </x:row>
    <x:row r="9" ht="34" customHeight="1">
      <x:c r="A9" s="35" t="str">
        <x:v>gallery</x:v>
      </x:c>
      <x:c r="B9" s="35" t="str">
        <x:v>Far left-wall relief</x:v>
      </x:c>
      <x:c r="C9" s="35" t="str">
        <x:v>Illustrated relief — identity unverified</x:v>
      </x:c>
      <x:c r="D9" s="35" t="str">
        <x:v>This carving is part of the room illustration. Its identity has not been verified against a collection record. The research below is comparative, not a provenance claim.</x:v>
      </x:c>
      <x:c r="E9" s="35" t="str"/>
      <x:c r="F9" s="35" t="str">
        <x:v>detail</x:v>
      </x:c>
      <x:c r="G9" s="35" t="str">
        <x:v>Yes</x:v>
      </x:c>
      <x:c r="H9" s="35" t="str">
        <x:v>gallery-fixed-wall_02</x:v>
      </x:c>
    </x:row>
    <x:row r="10" ht="34" customHeight="1">
      <x:c r="A10" s="35" t="str">
        <x:v>gallery</x:v>
      </x:c>
      <x:c r="B10" s="35" t="str">
        <x:v>Far left-wall relief</x:v>
      </x:c>
      <x:c r="C10" s="35" t="str">
        <x:v>Barberini Ivory</x:v>
      </x:c>
      <x:c r="D10" s="35" t="str">
        <x:v>Existing Gallery research: sixth-century relief.</x:v>
      </x:c>
      <x:c r="E10" s="35" t="str"/>
      <x:c r="F10" s="35" t="str">
        <x:v>detail</x:v>
      </x:c>
      <x:c r="G10" s="35" t="str">
        <x:v>Yes</x:v>
      </x:c>
      <x:c r="H10" s="35" t="str">
        <x:v>art-relief-sequence</x:v>
      </x:c>
    </x:row>
    <x:row r="11" ht="34" customHeight="1">
      <x:c r="A11" s="35" t="str">
        <x:v>gallery</x:v>
      </x:c>
      <x:c r="B11" s="35" t="str">
        <x:v>Front glass case</x:v>
      </x:c>
      <x:c r="C11" s="35" t="str">
        <x:v>Illustrated folding fan</x:v>
      </x:c>
      <x:c r="D11" s="35" t="str">
        <x:v>The fan is a fixed part of the room artwork. Its identity has not been verified; it is not assigned the New Harmony fan record.</x:v>
      </x:c>
      <x:c r="E11" s="35" t="str"/>
      <x:c r="F11" s="35" t="str">
        <x:v>detail</x:v>
      </x:c>
      <x:c r="G11" s="35" t="str">
        <x:v>Yes</x:v>
      </x:c>
      <x:c r="H11" s="35" t="str">
        <x:v>gallery-fixed-fan</x:v>
      </x:c>
    </x:row>
    <x:row r="12" ht="34" customHeight="1">
      <x:c r="A12" s="35" t="str">
        <x:v>gallery</x:v>
      </x:c>
      <x:c r="B12" s="35" t="str">
        <x:v>Small rear-wall frame</x:v>
      </x:c>
      <x:c r="C12" s="35" t="str">
        <x:v>Roman Wall Sconce</x:v>
      </x:c>
      <x:c r="D12" s="35" t="str">
        <x:v>Existing evidence case at the Eskenazi Museum of Art.</x:v>
      </x:c>
      <x:c r="E12" s="35" t="str">
        <x:v>/assets/img/RomanWallSconce - 03-06-2026 14-41-38.jpeg</x:v>
      </x:c>
      <x:c r="F12" s="35" t="str">
        <x:v>detail</x:v>
      </x:c>
      <x:c r="G12" s="35" t="str">
        <x:v>Yes</x:v>
      </x:c>
      <x:c r="H12" s="35" t="str">
        <x:v>gallery-roman-wall-sconce</x:v>
      </x:c>
    </x:row>
    <x:row r="13" ht="34" customHeight="1">
      <x:c r="A13" s="35" t="str">
        <x:v>conservation_lab</x:v>
      </x:c>
      <x:c r="B13" s="35" t="str">
        <x:v>Central ivories collection</x:v>
      </x:c>
      <x:c r="C13" s="35" t="str">
        <x:v>IU Eskenazi Museum Ivories</x:v>
      </x:c>
      <x:c r="D13" s="35" t="str">
        <x:v>Existing conservation-table research.</x:v>
      </x:c>
      <x:c r="E13" s="35" t="str"/>
      <x:c r="F13" s="35" t="str">
        <x:v>detail</x:v>
      </x:c>
      <x:c r="G13" s="35" t="str">
        <x:v>Yes</x:v>
      </x:c>
      <x:c r="H13" s="35" t="str">
        <x:v>ChineseUVIvoryCollection</x:v>
      </x:c>
    </x:row>
    <x:row r="14" ht="34" customHeight="1">
      <x:c r="A14" s="35" t="str">
        <x:v>conservation_lab</x:v>
      </x:c>
      <x:c r="B14" s="35" t="str">
        <x:v>Ivory Through the Ages</x:v>
      </x:c>
      <x:c r="C14" s="35" t="str">
        <x:v>ivory_ages</x:v>
      </x:c>
      <x:c r="D14" s="35" t="str"/>
      <x:c r="E14" s="35" t="str"/>
      <x:c r="F14" s="35" t="str">
        <x:v>timeline</x:v>
      </x:c>
      <x:c r="G14" s="35" t="str">
        <x:v>Yes</x:v>
      </x:c>
      <x:c r="H14" s="35" t="str">
        <x:v>ivory_ages</x:v>
      </x:c>
    </x:row>
    <x:row r="15" ht="34" customHeight="1">
      <x:c r="A15" s="35" t="str">
        <x:v>conservation_lab</x:v>
      </x:c>
      <x:c r="B15" s="35" t="str">
        <x:v>Rear analysis workbench</x:v>
      </x:c>
      <x:c r="C15" s="35" t="str">
        <x:v>Analysis workbench</x:v>
      </x:c>
      <x:c r="D15" s="35" t="str">
        <x:v>The existing collection record reports DNA evidence from African and Asian elephants. Open the central ivories collection for the supplied research. No additional analysis media have been supplied.</x:v>
      </x:c>
      <x:c r="E15" s="35" t="str"/>
      <x:c r="F15" s="35" t="str">
        <x:v>tool</x:v>
      </x:c>
      <x:c r="G15" s="35" t="str">
        <x:v>Yes</x:v>
      </x:c>
      <x:c r="H15" s="35" t="str">
        <x:v>conservation-methods</x:v>
      </x:c>
    </x:row>
    <x:row r="16" ht="34" customHeight="1">
      <x:c r="A16" s="35" t="str">
        <x:v>historical_society</x:v>
      </x:c>
      <x:c r="B16" s="35" t="str">
        <x:v>Local Lives</x:v>
      </x:c>
      <x:c r="C16" s="35" t="str">
        <x:v>local_lives</x:v>
      </x:c>
      <x:c r="D16" s="35" t="str"/>
      <x:c r="E16" s="35" t="str"/>
      <x:c r="F16" s="35" t="str">
        <x:v>timeline</x:v>
      </x:c>
      <x:c r="G16" s="35" t="str">
        <x:v>Yes</x:v>
      </x:c>
      <x:c r="H16" s="35" t="str">
        <x:v>local_lives</x:v>
      </x:c>
    </x:row>
    <x:row r="17" ht="34" customHeight="1">
      <x:c r="A17" s="35" t="str">
        <x:v>historical_society</x:v>
      </x:c>
      <x:c r="B17" s="35" t="str">
        <x:v>Piano</x:v>
      </x:c>
      <x:c r="C17" s="35" t="str">
        <x:v>Piano</x:v>
      </x:c>
      <x:c r="D17" s="35" t="str">
        <x:v>An illustrated piano anchors this room. Keyboard coverings can prompt questions about materials and manufacture, but the artwork does not establish the material, maker or provenance of this piano.</x:v>
      </x:c>
      <x:c r="E17" s="35" t="str"/>
      <x:c r="F17" s="35" t="str">
        <x:v>detail</x:v>
      </x:c>
      <x:c r="G17" s="35" t="str">
        <x:v>Yes</x:v>
      </x:c>
      <x:c r="H17" s="35" t="str">
        <x:v>historical_society_piano_01</x:v>
      </x:c>
    </x:row>
    <x:row r="18" ht="34" customHeight="1">
      <x:c r="A18" s="35" t="str">
        <x:v>historical_society</x:v>
      </x:c>
      <x:c r="B18" s="35" t="str">
        <x:v>Billiards table</x:v>
      </x:c>
      <x:c r="C18" s="35" t="str">
        <x:v>Billiards table</x:v>
      </x:c>
      <x:c r="D18" s="35" t="str">
        <x:v>The billiards table connects leisure with the history of materials. No object record or material identification has been assigned to this illustrated furnishing.</x:v>
      </x:c>
      <x:c r="E18" s="35" t="str"/>
      <x:c r="F18" s="35" t="str">
        <x:v>detail</x:v>
      </x:c>
      <x:c r="G18" s="35" t="str">
        <x:v>Yes</x:v>
      </x:c>
      <x:c r="H18" s="35" t="str">
        <x:v>historical_society_table_01</x:v>
      </x:c>
    </x:row>
    <x:row r="19" ht="34" customHeight="1">
      <x:c r="A19" s="35" t="str">
        <x:v>attic</x:v>
      </x:c>
      <x:c r="B19" s="35" t="str">
        <x:v>Family Traces</x:v>
      </x:c>
      <x:c r="C19" s="35" t="str">
        <x:v>family_traces</x:v>
      </x:c>
      <x:c r="D19" s="35" t="str"/>
      <x:c r="E19" s="35" t="str"/>
      <x:c r="F19" s="35" t="str">
        <x:v>timeline</x:v>
      </x:c>
      <x:c r="G19" s="35" t="str">
        <x:v>Yes</x:v>
      </x:c>
      <x:c r="H19" s="35" t="str">
        <x:v>family_traces</x:v>
      </x:c>
    </x:row>
    <x:row r="20" ht="34" customHeight="1">
      <x:c r="A20" s="35" t="str">
        <x:v>natural_history</x:v>
      </x:c>
      <x:c r="B20" s="35" t="str">
        <x:v>Tusk specimen</x:v>
      </x:c>
      <x:c r="C20" s="35" t="str">
        <x:v>Elephant tusk</x:v>
      </x:c>
      <x:c r="D20" s="35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0" s="35" t="str"/>
      <x:c r="F20" s="35" t="str">
        <x:v>detail</x:v>
      </x:c>
      <x:c r="G20" s="35" t="str">
        <x:v>Yes</x:v>
      </x:c>
      <x:c r="H20" s="35" t="str">
        <x:v>natural-history-specimen</x:v>
      </x:c>
    </x:row>
    <x:row r="21" ht="34" customHeight="1">
      <x:c r="A21" s="35" t="str">
        <x:v>natural_history</x:v>
      </x:c>
      <x:c r="B21" s="35" t="str">
        <x:v>Specimen label</x:v>
      </x:c>
      <x:c r="C21" s="35" t="str">
        <x:v>Elephant tusk</x:v>
      </x:c>
      <x:c r="D21" s="35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1" s="35" t="str"/>
      <x:c r="F21" s="35" t="str">
        <x:v>detail</x:v>
      </x:c>
      <x:c r="G21" s="35" t="str">
        <x:v>Yes</x:v>
      </x:c>
      <x:c r="H21" s="35" t="str">
        <x:v>natural-history-specimen</x:v>
      </x:c>
    </x:row>
    <x:row r="22" ht="34" customHeight="1">
      <x:c r="A22" s="35" t="str">
        <x:v>natural_history</x:v>
      </x:c>
      <x:c r="B22" s="35" t="str">
        <x:v>Elephant interpretation panel</x:v>
      </x:c>
      <x:c r="C22" s="35" t="str">
        <x:v>Natural History Intro</x:v>
      </x:c>
      <x:c r="D22" s="35" t="str">
        <x:v>Elephants, ivory as material, and environmental history. Explore deep time, maps, specimen interpretation, and a separate evidence-ordering activity.</x:v>
      </x:c>
      <x:c r="E22" s="35" t="str"/>
      <x:c r="F22" s="35" t="str">
        <x:v>detail</x:v>
      </x:c>
      <x:c r="G22" s="35" t="str">
        <x:v>Yes</x:v>
      </x:c>
      <x:c r="H22" s="35" t="str">
        <x:v>natural_history_intro</x:v>
      </x:c>
    </x:row>
    <x:row r="23" ht="34" customHeight="1">
      <x:c r="A23" s="35" t="str">
        <x:v>natural_history</x:v>
      </x:c>
      <x:c r="B23" s="35" t="str">
        <x:v>Wall map</x:v>
      </x:c>
      <x:c r="C23" s="35" t="str">
        <x:v>World map</x:v>
      </x:c>
      <x:c r="D23" s="35" t="str">
        <x:v>Existing collection geography map.</x:v>
      </x:c>
      <x:c r="E23" s="35" t="str"/>
      <x:c r="F23" s="35" t="str">
        <x:v>tool</x:v>
      </x:c>
      <x:c r="G23" s="35" t="str">
        <x:v>Yes</x:v>
      </x:c>
      <x:c r="H23" s="35" t="str">
        <x:v>natural-history-map</x:v>
      </x:c>
    </x:row>
    <x:row r="24" ht="34" customHeight="1">
      <x:c r="A24" s="35" t="str">
        <x:v>natural_history</x:v>
      </x:c>
      <x:c r="B24" s="35" t="str">
        <x:v>Ivory Through Time poster</x:v>
      </x:c>
      <x:c r="C24" s="35" t="str">
        <x:v>deep_time_evidence</x:v>
      </x:c>
      <x:c r="D24" s="35" t="str"/>
      <x:c r="E24" s="35" t="str"/>
      <x:c r="F24" s="35" t="str">
        <x:v>timeline</x:v>
      </x:c>
      <x:c r="G24" s="35" t="str">
        <x:v>Yes</x:v>
      </x:c>
      <x:c r="H24" s="35" t="str">
        <x:v>deep_time_evidence</x:v>
      </x:c>
    </x:row>
    <x:row r="25" ht="34" customHeight="1">
      <x:c r="A25" s="35" t="str">
        <x:v>natural_history</x:v>
      </x:c>
      <x:c r="B25" s="35" t="str">
        <x:v>Habitation map within explorer</x:v>
      </x:c>
      <x:c r="C25" s="35" t="str">
        <x:v>Habitation map</x:v>
      </x:c>
      <x:c r="D25" s="35" t="str">
        <x:v>Nested component of the deep-time explorer, not a second wall location.</x:v>
      </x:c>
      <x:c r="E25" s="35" t="str"/>
      <x:c r="F25" s="35" t="str">
        <x:v>tool</x:v>
      </x:c>
      <x:c r="G25" s="35" t="str">
        <x:v>Yes</x:v>
      </x:c>
      <x:c r="H25" s="35" t="str">
        <x:v>habitation-map</x:v>
      </x:c>
    </x:row>
    <x:row r="26" ht="34" customHeight="1">
      <x:c r="A26" s="35" t="str">
        <x:v>natural_history</x:v>
      </x:c>
      <x:c r="B26" s="35" t="str">
        <x:v>Ivory inquiry</x:v>
      </x:c>
      <x:c r="C26" s="35" t="str">
        <x:v>Ivory Inquiry Terminal</x:v>
      </x:c>
      <x:c r="D26" s="35" t="str">
        <x:v>Existing inquiry tool.</x:v>
      </x:c>
      <x:c r="E26" s="35" t="str"/>
      <x:c r="F26" s="35" t="str">
        <x:v>tool</x:v>
      </x:c>
      <x:c r="G26" s="35" t="str">
        <x:v>Yes</x:v>
      </x:c>
      <x:c r="H26" s="35" t="str">
        <x:v>natural-history-tusk</x:v>
      </x:c>
    </x:row>
    <x:row r="27" ht="34" customHeight="1">
      <x:c r="A27" s="35" t="str">
        <x:v>conservators_office</x:v>
      </x:c>
      <x:c r="B27" s="35" t="str">
        <x:v>Desk terminal</x:v>
      </x:c>
      <x:c r="C27" s="35" t="str">
        <x:v>Curation terminal</x:v>
      </x:c>
      <x:c r="D27" s="35" t="str">
        <x:v>Exhibition assembly remains a planned feature.</x:v>
      </x:c>
      <x:c r="E27" s="35" t="str"/>
      <x:c r="F27" s="35" t="str">
        <x:v>tool</x:v>
      </x:c>
      <x:c r="G27" s="35" t="str">
        <x:v>Yes</x:v>
      </x:c>
      <x:c r="H27" s="35" t="str">
        <x:v>conservator-terminal</x:v>
      </x:c>
    </x:row>
    <x:row r="28" ht="34" customHeight="1">
      <x:c r="A28" s="35" t="str">
        <x:v>conservators_office</x:v>
      </x:c>
      <x:c r="B28" s="35" t="str">
        <x:v>Elephant wall panel</x:v>
      </x:c>
      <x:c r="C28" s="35" t="str">
        <x:v>Conservators Office Intro</x:v>
      </x:c>
      <x:c r="D28" s="35" t="str">
        <x:v>Care, repair, research and preservation. Exhibition assembly at the terminal remains a future feature.</x:v>
      </x:c>
      <x:c r="E28" s="35" t="str"/>
      <x:c r="F28" s="35" t="str">
        <x:v>detail</x:v>
      </x:c>
      <x:c r="G28" s="35" t="str">
        <x:v>Yes</x:v>
      </x:c>
      <x:c r="H28" s="35" t="str">
        <x:v>conservators_office_intro</x:v>
      </x:c>
    </x:row>
    <x:row r="29" ht="34" customHeight="1">
      <x:c r="A29" s="35" t="str">
        <x:v>lab</x:v>
      </x:c>
      <x:c r="B29" s="35" t="str">
        <x:v>Attic access context</x:v>
      </x:c>
      <x:c r="C29" s="35" t="str">
        <x:v>Attic investigations</x:v>
      </x:c>
      <x:c r="D29" s="35" t="str">
        <x:v>Existing context and navigation.</x:v>
      </x:c>
      <x:c r="E29" s="35" t="str"/>
      <x:c r="F29" s="35" t="str">
        <x:v>tool</x:v>
      </x:c>
      <x:c r="G29" s="35" t="str">
        <x:v>Yes</x:v>
      </x:c>
      <x:c r="H29" s="35" t="str">
        <x:v>lab-attic-sequence</x:v>
      </x:c>
    </x:row>
    <x:row r="30" ht="34" customHeight="1">
      <x:c r="A30" s="35" t="str">
        <x:v>natural_history</x:v>
      </x:c>
      <x:c r="B30" s="35" t="str">
        <x:v>Central recessed panel</x:v>
      </x:c>
      <x:c r="C30" s="35" t="str">
        <x:v>Geib Flute</x:v>
      </x:c>
      <x:c r="D30" s="35" t="str">
        <x:v>test</x:v>
      </x:c>
      <x:c r="E30" s="35" t="str">
        <x:v>/assets/img/editorial/geib-flute-3ec90b3a3ce8.jpeg</x:v>
      </x:c>
      <x:c r="F30" s="35" t="str">
        <x:v>detail</x:v>
      </x:c>
      <x:c r="G30" s="35" t="str">
        <x:v>Yes</x:v>
      </x:c>
      <x:c r="H30" s="35" t="str">
        <x:v>geib-flute</x:v>
      </x:c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28" t="str">
        <x:v>Add timeline cards by choosing a timeline, supplying a human-readable historical date, and writing the text that appears after a correct placement. Use Events and Timelines for the normalized records imported by the website.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1" t="str">
        <x:v>Room</x:v>
      </x:c>
      <x:c r="B3" s="31" t="str">
        <x:v>Timeline</x:v>
      </x:c>
      <x:c r="C3" s="31" t="str">
        <x:v>Item title</x:v>
      </x:c>
      <x:c r="D3" s="31" t="str">
        <x:v>Historical date</x:v>
      </x:c>
      <x:c r="E3" s="31" t="str">
        <x:v>Reveal text</x:v>
      </x:c>
      <x:c r="F3" s="31" t="str">
        <x:v>Interpretive prompt</x:v>
      </x:c>
      <x:c r="G3" s="31" t="str">
        <x:v>Image</x:v>
      </x:c>
      <x:c r="H3" s="31" t="str">
        <x:v>Show to visitors?</x:v>
      </x:c>
    </x:row>
    <x:row r="4" ht="34" customHeight="1">
      <x:c r="A4" s="35" t="str">
        <x:v>historical_society</x:v>
      </x:c>
      <x:c r="B4" s="35" t="str">
        <x:v>Historical Society</x:v>
      </x:c>
      <x:c r="C4" s="35" t="str">
        <x:v>Household inventory</x:v>
      </x:c>
      <x:c r="D4" s="35" t="str">
        <x:v>1880 (fictional)</x:v>
      </x:c>
      <x:c r="E4" s="35" t="str"/>
      <x:c r="F4" s="35" t="str"/>
      <x:c r="G4" s="35" t="str"/>
      <x:c r="H4" s="35" t="str">
        <x:v>Yes</x:v>
      </x:c>
    </x:row>
    <x:row r="5" ht="34" customHeight="1">
      <x:c r="A5" s="35" t="str">
        <x:v>historical_society</x:v>
      </x:c>
      <x:c r="B5" s="35" t="str">
        <x:v>Historical Society</x:v>
      </x:c>
      <x:c r="C5" s="35" t="str">
        <x:v>Letter about a proposed gift</x:v>
      </x:c>
      <x:c r="D5" s="35" t="str">
        <x:v>1905 (fictional)</x:v>
      </x:c>
      <x:c r="E5" s="35" t="str"/>
      <x:c r="F5" s="35" t="str"/>
      <x:c r="G5" s="35" t="str"/>
      <x:c r="H5" s="35" t="str">
        <x:v>Yes</x:v>
      </x:c>
    </x:row>
    <x:row r="6" ht="34" customHeight="1">
      <x:c r="A6" s="35" t="str">
        <x:v>historical_society</x:v>
      </x:c>
      <x:c r="B6" s="35" t="str">
        <x:v>Historical Society</x:v>
      </x:c>
      <x:c r="C6" s="35" t="str">
        <x:v>Institutional accession</x:v>
      </x:c>
      <x:c r="D6" s="35" t="str">
        <x:v>1910 (fictional)</x:v>
      </x:c>
      <x:c r="E6" s="35" t="str"/>
      <x:c r="F6" s="35" t="str"/>
      <x:c r="G6" s="35" t="str"/>
      <x:c r="H6" s="35" t="str">
        <x:v>Yes</x:v>
      </x:c>
    </x:row>
    <x:row r="7" ht="34" customHeight="1">
      <x:c r="A7" s="35" t="str">
        <x:v>historical_society</x:v>
      </x:c>
      <x:c r="B7" s="35" t="str">
        <x:v>Historical Society</x:v>
      </x:c>
      <x:c r="C7" s="35" t="str">
        <x:v>Exhibit relabeling</x:v>
      </x:c>
      <x:c r="D7" s="35" t="str">
        <x:v>1935 (fictional)</x:v>
      </x:c>
      <x:c r="E7" s="35" t="str"/>
      <x:c r="F7" s="35" t="str"/>
      <x:c r="G7" s="35" t="str"/>
      <x:c r="H7" s="35" t="str">
        <x:v>Yes</x:v>
      </x:c>
    </x:row>
    <x:row r="8" ht="34" customHeight="1">
      <x:c r="A8" s="35" t="str">
        <x:v>conservation_lab</x:v>
      </x:c>
      <x:c r="B8" s="35" t="str">
        <x:v>Ivory Through the Ages</x:v>
      </x:c>
      <x:c r="C8" s="35" t="str">
        <x:v>Early carved sample</x:v>
      </x:c>
      <x:c r="D8" s="35" t="str">
        <x:v>2000 BCE (fictional sample)</x:v>
      </x:c>
      <x:c r="E8" s="35" t="str">
        <x:v>The earliest sample sits at the beginning of a long BCE-to-CE interval, making later workshop changes visibly closer together.</x:v>
      </x:c>
      <x:c r="F8" s="35" t="str">
        <x:v>What changes when centuries of material practice are shown on one continuous scale?</x:v>
      </x:c>
      <x:c r="G8" s="35" t="str"/>
      <x:c r="H8" s="35" t="str">
        <x:v>Yes</x:v>
      </x:c>
    </x:row>
    <x:row r="9" ht="34" customHeight="1">
      <x:c r="A9" s="35" t="str">
        <x:v>conservation_lab</x:v>
      </x:c>
      <x:c r="B9" s="35" t="str">
        <x:v>Ivory Through the Ages</x:v>
      </x:c>
      <x:c r="C9" s="35" t="str">
        <x:v>Relief workshop sample</x:v>
      </x:c>
      <x:c r="D9" s="35" t="str">
        <x:v>500 CE (fictional sample)</x:v>
      </x:c>
      <x:c r="E9" s="35" t="str">
        <x:v>The move into the CE range is represented by a positive chronology value while the visitor-facing label remains historical rather than technical.</x:v>
      </x:c>
      <x:c r="F9" s="35" t="str">
        <x:v>How can a shared material carry different meanings in different workshop settings?</x:v>
      </x:c>
      <x:c r="G9" s="35" t="str"/>
      <x:c r="H9" s="35" t="str">
        <x:v>Yes</x:v>
      </x:c>
    </x:row>
    <x:row r="10" ht="34" customHeight="1">
      <x:c r="A10" s="35" t="str">
        <x:v>conservation_lab</x:v>
      </x:c>
      <x:c r="B10" s="35" t="str">
        <x:v>Ivory Through the Ages</x:v>
      </x:c>
      <x:c r="C10" s="35" t="str">
        <x:v>Joined-panel sample</x:v>
      </x:c>
      <x:c r="D10" s="35" t="str">
        <x:v>1200 CE (fictional sample)</x:v>
      </x:c>
      <x:c r="E10" s="35" t="str">
        <x:v>This later sample is separated from 500 CE by far less time than the BCE-to-CE span at the start of the activity.</x:v>
      </x:c>
      <x:c r="F10" s="35" t="str">
        <x:v>What might a proportional gap reveal that an equally spaced list would hide?</x:v>
      </x:c>
      <x:c r="G10" s="35" t="str"/>
      <x:c r="H10" s="35" t="str">
        <x:v>Yes</x:v>
      </x:c>
    </x:row>
    <x:row r="11" ht="34" customHeight="1">
      <x:c r="A11" s="35" t="str">
        <x:v>conservation_lab</x:v>
      </x:c>
      <x:c r="B11" s="35" t="str">
        <x:v>Ivory Through the Ages</x:v>
      </x:c>
      <x:c r="C11" s="35" t="str">
        <x:v>Turned-object sample</x:v>
      </x:c>
      <x:c r="D11" s="35" t="str">
        <x:v>1800 CE (fictional sample)</x:v>
      </x:c>
      <x:c r="E11" s="35" t="str">
        <x:v>The final card anchors the end of the linear scale and makes the relative distances among the four teaching samples visible.</x:v>
      </x:c>
      <x:c r="F11" s="35" t="str">
        <x:v>When does a new technique change the social meaning of a material?</x:v>
      </x:c>
      <x:c r="G11" s="35" t="str"/>
      <x:c r="H11" s="35" t="str">
        <x:v>Yes</x:v>
      </x:c>
    </x:row>
    <x:row r="12" ht="34" customHeight="1">
      <x:c r="A12" s="35" t="str">
        <x:v>attic</x:v>
      </x:c>
      <x:c r="B12" s="35" t="str">
        <x:v>Attic</x:v>
      </x:c>
      <x:c r="C12" s="35" t="str">
        <x:v>Old inventory</x:v>
      </x:c>
      <x:c r="D12" s="35" t="str">
        <x:v>1900 (fictional)</x:v>
      </x:c>
      <x:c r="E12" s="35" t="str"/>
      <x:c r="F12" s="35" t="str"/>
      <x:c r="G12" s="35" t="str"/>
      <x:c r="H12" s="35" t="str">
        <x:v>Yes</x:v>
      </x:c>
    </x:row>
    <x:row r="13" ht="34" customHeight="1">
      <x:c r="A13" s="35" t="str">
        <x:v>attic</x:v>
      </x:c>
      <x:c r="B13" s="35" t="str">
        <x:v>Attic</x:v>
      </x:c>
      <x:c r="C13" s="35" t="str">
        <x:v>Undated photograph</x:v>
      </x:c>
      <x:c r="D13" s="35" t="str">
        <x:v>1920s, uncertain (fictional)</x:v>
      </x:c>
      <x:c r="E13" s="35" t="str"/>
      <x:c r="F13" s="35" t="str"/>
      <x:c r="G13" s="35" t="str"/>
      <x:c r="H13" s="35" t="str">
        <x:v>Yes</x:v>
      </x:c>
    </x:row>
    <x:row r="14" ht="34" customHeight="1">
      <x:c r="A14" s="35" t="str">
        <x:v>attic</x:v>
      </x:c>
      <x:c r="B14" s="35" t="str">
        <x:v>Attic</x:v>
      </x:c>
      <x:c r="C14" s="35" t="str">
        <x:v>Loose envelope</x:v>
      </x:c>
      <x:c r="D14" s="35" t="str">
        <x:v>1920s, uncertain (fictional)</x:v>
      </x:c>
      <x:c r="E14" s="35" t="str"/>
      <x:c r="F14" s="35" t="str"/>
      <x:c r="G14" s="35" t="str"/>
      <x:c r="H14" s="35" t="str">
        <x:v>Yes</x:v>
      </x:c>
    </x:row>
    <x:row r="15" ht="34" customHeight="1">
      <x:c r="A15" s="35" t="str">
        <x:v>attic</x:v>
      </x:c>
      <x:c r="B15" s="35" t="str">
        <x:v>Attic</x:v>
      </x:c>
      <x:c r="C15" s="35" t="str">
        <x:v>Trunk rediscovered</x:v>
      </x:c>
      <x:c r="D15" s="35" t="str">
        <x:v>1970 (fictional)</x:v>
      </x:c>
      <x:c r="E15" s="35" t="str"/>
      <x:c r="F15" s="35" t="str"/>
      <x:c r="G15" s="35" t="str"/>
      <x:c r="H15" s="35" t="str">
        <x:v>Yes</x:v>
      </x:c>
    </x:row>
    <x:row r="16" ht="34" customHeight="1">
      <x:c r="A16" s="35" t="str">
        <x:v>natural_history</x:v>
      </x:c>
      <x:c r="B16" s="35" t="str">
        <x:v>Ivory Through Time</x:v>
      </x:c>
      <x:c r="C16" s="35" t="str">
        <x:v>Early Proboscideans</x:v>
      </x:c>
      <x:c r="D16" s="35" t="str">
        <x:v>ca. 60–34 million years ago</x:v>
      </x:c>
      <x:c r="E16" s="35" t="str">
        <x:v>The earliest part of the axis represents long ecological change before modern elephants or human ivory trade.</x:v>
      </x:c>
      <x:c r="F16" s="35" t="str">
        <x:v>What evidence can show environmental change across this much time?</x:v>
      </x:c>
      <x:c r="G16" s="35" t="str"/>
      <x:c r="H16" s="35" t="str">
        <x:v>Yes</x:v>
      </x:c>
    </x:row>
    <x:row r="17" ht="34" customHeight="1">
      <x:c r="A17" s="35" t="str">
        <x:v>natural_history</x:v>
      </x:c>
      <x:c r="B17" s="35" t="str">
        <x:v>Ivory Through Time</x:v>
      </x:c>
      <x:c r="C17" s="35" t="str">
        <x:v>Miocene Dispersal</x:v>
      </x:c>
      <x:c r="D17" s="35" t="str">
        <x:v>ca. 23–5.3 million years ago</x:v>
      </x:c>
      <x:c r="E17" s="35" t="str">
        <x:v>Dispersal links fossil evidence to changing habitats and migration routes rather than a single fixed homeland.</x:v>
      </x:c>
      <x:c r="F17" s="35" t="str">
        <x:v>How might movement across regions change the materials and stories available to people?</x:v>
      </x:c>
      <x:c r="G17" s="35" t="str"/>
      <x:c r="H17" s="35" t="str">
        <x:v>Yes</x:v>
      </x:c>
    </x:row>
    <x:row r="18" ht="34" customHeight="1">
      <x:c r="A18" s="35" t="str">
        <x:v>natural_history</x:v>
      </x:c>
      <x:c r="B18" s="35" t="str">
        <x:v>Ivory Through Time</x:v>
      </x:c>
      <x:c r="C18" s="35" t="str">
        <x:v>Pleistocene Diversity</x:v>
      </x:c>
      <x:c r="D18" s="35" t="str">
        <x:v>ca. 2.6 million–11,700 years ago</x:v>
      </x:c>
      <x:c r="E18" s="35" t="str">
        <x:v>The compressed late band still covers millions of years of diverse proboscidean lives and environments.</x:v>
      </x:c>
      <x:c r="F18" s="35" t="str">
        <x:v>What is lost when a long period is treated as a single moment?</x:v>
      </x:c>
      <x:c r="G18" s="35" t="str"/>
      <x:c r="H18" s="35" t="str">
        <x:v>Yes</x:v>
      </x:c>
    </x:row>
    <x:row r="19" ht="34" customHeight="1">
      <x:c r="A19" s="35" t="str">
        <x:v>natural_history</x:v>
      </x:c>
      <x:c r="B19" s="35" t="str">
        <x:v>Ivory Through Time</x:v>
      </x:c>
      <x:c r="C19" s="35" t="str">
        <x:v>Late Proboscidean Extinctions</x:v>
      </x:c>
      <x:c r="D19" s="35" t="str">
        <x:v>Late Pleistocene–Holocene</x:v>
      </x:c>
      <x:c r="E19" s="35" t="str">
        <x:v>Late extinctions bring ecological pressures and human action into the same interpretive frame without reducing either to one cause.</x:v>
      </x:c>
      <x:c r="F19" s="35" t="str">
        <x:v>How should uncertainty shape the stories we tell about extinction and extraction?</x:v>
      </x:c>
      <x:c r="G19" s="35" t="str"/>
      <x:c r="H19" s="35" t="str">
        <x:v>Yes</x:v>
      </x:c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28" t="str">
        <x:v>Use this room-by-room overview to find available locations. Reserved locations become visible only after supported content is assigned and published.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1" t="str">
        <x:v>Room</x:v>
      </x:c>
      <x:c r="B3" s="31" t="str">
        <x:v>Location</x:v>
      </x:c>
      <x:c r="C3" s="31" t="str">
        <x:v>What kind of item is this?</x:v>
      </x:c>
      <x:c r="D3" s="31" t="str">
        <x:v>Capacity</x:v>
      </x:c>
      <x:c r="E3" s="31" t="str">
        <x:v>Ready for editing?</x:v>
      </x:c>
      <x:c r="F3" s="31" t="str">
        <x:v>Current visitor content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detail</x:v>
      </x:c>
      <x:c r="D4" s="35" t="str">
        <x:v>1</x:v>
      </x:c>
      <x:c r="E4" s="35" t="str">
        <x:v>Yes</x:v>
      </x:c>
      <x:c r="F4" s="35" t="str">
        <x:v>Gallery Intro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detail</x:v>
      </x:c>
      <x:c r="D5" s="35" t="str">
        <x:v>1</x:v>
      </x:c>
      <x:c r="E5" s="35" t="str">
        <x:v>Yes</x:v>
      </x:c>
      <x:c r="F5" s="35" t="str">
        <x:v>Conservation Lab Intro</x:v>
      </x:c>
    </x:row>
    <x:row r="6" ht="34" customHeight="1">
      <x:c r="A6" s="35" t="str">
        <x:v>historical_society</x:v>
      </x:c>
      <x:c r="B6" s="35" t="str">
        <x:v>Historical Society introduction</x:v>
      </x:c>
      <x:c r="C6" s="35" t="str">
        <x:v>detail</x:v>
      </x:c>
      <x:c r="D6" s="35" t="str">
        <x:v>1</x:v>
      </x:c>
      <x:c r="E6" s="35" t="str">
        <x:v>Yes</x:v>
      </x:c>
      <x:c r="F6" s="35" t="str">
        <x:v>Reserved</x:v>
      </x:c>
    </x:row>
    <x:row r="7" ht="34" customHeight="1">
      <x:c r="A7" s="35" t="str">
        <x:v>attic</x:v>
      </x:c>
      <x:c r="B7" s="35" t="str">
        <x:v>Attic introduction</x:v>
      </x:c>
      <x:c r="C7" s="35" t="str">
        <x:v>detail</x:v>
      </x:c>
      <x:c r="D7" s="35" t="str">
        <x:v>1</x:v>
      </x:c>
      <x:c r="E7" s="35" t="str">
        <x:v>Yes</x:v>
      </x:c>
      <x:c r="F7" s="35" t="str">
        <x:v>Reserved</x:v>
      </x:c>
    </x:row>
    <x:row r="8" ht="34" customHeight="1">
      <x:c r="A8" s="35" t="str">
        <x:v>natural_history</x:v>
      </x:c>
      <x:c r="B8" s="35" t="str">
        <x:v>Natural History Museum introduction</x:v>
      </x:c>
      <x:c r="C8" s="35" t="str">
        <x:v>detail</x:v>
      </x:c>
      <x:c r="D8" s="35" t="str">
        <x:v>1</x:v>
      </x:c>
      <x:c r="E8" s="35" t="str">
        <x:v>Yes</x:v>
      </x:c>
      <x:c r="F8" s="35" t="str">
        <x:v>Reserved</x:v>
      </x:c>
    </x:row>
    <x:row r="9" ht="34" customHeight="1">
      <x:c r="A9" s="35" t="str">
        <x:v>conservators_office</x:v>
      </x:c>
      <x:c r="B9" s="35" t="str">
        <x:v>Conservator's Office introduction</x:v>
      </x:c>
      <x:c r="C9" s="35" t="str">
        <x:v>detail</x:v>
      </x:c>
      <x:c r="D9" s="35" t="str">
        <x:v>1</x:v>
      </x:c>
      <x:c r="E9" s="35" t="str">
        <x:v>Yes</x:v>
      </x:c>
      <x:c r="F9" s="35" t="str">
        <x:v>Reserved</x:v>
      </x:c>
    </x:row>
    <x:row r="10" ht="34" customHeight="1">
      <x:c r="A10" s="35" t="str">
        <x:v>lab</x:v>
      </x:c>
      <x:c r="B10" s="35" t="str">
        <x:v>Lab introduction</x:v>
      </x:c>
      <x:c r="C10" s="35" t="str">
        <x:v>detail</x:v>
      </x:c>
      <x:c r="D10" s="35" t="str">
        <x:v>1</x:v>
      </x:c>
      <x:c r="E10" s="35" t="str">
        <x:v>Yes</x:v>
      </x:c>
      <x:c r="F10" s="35" t="str">
        <x:v>Reserved</x:v>
      </x:c>
    </x:row>
    <x:row r="11" ht="34" customHeight="1">
      <x:c r="A11" s="35" t="str">
        <x:v>vestibule</x:v>
      </x:c>
      <x:c r="B11" s="35" t="str">
        <x:v>Welcome and check-in</x:v>
      </x:c>
      <x:c r="C11" s="35" t="str">
        <x:v>tool</x:v>
      </x:c>
      <x:c r="D11" s="35" t="str">
        <x:v>1</x:v>
      </x:c>
      <x:c r="E11" s="35" t="str">
        <x:v>Yes</x:v>
      </x:c>
      <x:c r="F11" s="35" t="str">
        <x:v>Welcome to ArchIvory</x:v>
      </x:c>
    </x:row>
    <x:row r="12" ht="34" customHeight="1">
      <x:c r="A12" s="35" t="str">
        <x:v>gallery</x:v>
      </x:c>
      <x:c r="B12" s="35" t="str">
        <x:v>Near left-wall relief</x:v>
      </x:c>
      <x:c r="C12" s="35" t="str">
        <x:v>collection</x:v>
      </x:c>
      <x:c r="D12" s="35" t="str">
        <x:v>8</x:v>
      </x:c>
      <x:c r="E12" s="35" t="str">
        <x:v>Yes</x:v>
      </x:c>
      <x:c r="F12" s="35" t="str">
        <x:v>Susanna and the Elders</x:v>
      </x:c>
    </x:row>
    <x:row r="13" ht="34" customHeight="1">
      <x:c r="A13" s="35" t="str">
        <x:v>gallery</x:v>
      </x:c>
      <x:c r="B13" s="35" t="str">
        <x:v>Far left-wall relief</x:v>
      </x:c>
      <x:c r="C13" s="35" t="str">
        <x:v>collection</x:v>
      </x:c>
      <x:c r="D13" s="35" t="str">
        <x:v>8</x:v>
      </x:c>
      <x:c r="E13" s="35" t="str">
        <x:v>Yes</x:v>
      </x:c>
      <x:c r="F13" s="35" t="str">
        <x:v>Illustrated relief — identity unverified; Barberini Ivory</x:v>
      </x:c>
    </x:row>
    <x:row r="14" ht="34" customHeight="1">
      <x:c r="A14" s="35" t="str">
        <x:v>gallery</x:v>
      </x:c>
      <x:c r="B14" s="35" t="str">
        <x:v>Front glass case</x:v>
      </x:c>
      <x:c r="C14" s="35" t="str">
        <x:v>collection</x:v>
      </x:c>
      <x:c r="D14" s="35" t="str">
        <x:v>8</x:v>
      </x:c>
      <x:c r="E14" s="35" t="str">
        <x:v>Yes</x:v>
      </x:c>
      <x:c r="F14" s="35" t="str">
        <x:v>Illustrated folding fan</x:v>
      </x:c>
    </x:row>
    <x:row r="15" ht="34" customHeight="1">
      <x:c r="A15" s="35" t="str">
        <x:v>gallery</x:v>
      </x:c>
      <x:c r="B15" s="35" t="str">
        <x:v>Rear round display</x:v>
      </x:c>
      <x:c r="C15" s="35" t="str">
        <x:v>collection</x:v>
      </x:c>
      <x:c r="D15" s="35" t="str">
        <x:v>8</x:v>
      </x:c>
      <x:c r="E15" s="35" t="str">
        <x:v>Yes</x:v>
      </x:c>
      <x:c r="F15" s="35" t="str">
        <x:v>Reserved</x:v>
      </x:c>
    </x:row>
    <x:row r="16" ht="34" customHeight="1">
      <x:c r="A16" s="35" t="str">
        <x:v>gallery</x:v>
      </x:c>
      <x:c r="B16" s="35" t="str">
        <x:v>Small rear-wall frame</x:v>
      </x:c>
      <x:c r="C16" s="35" t="str">
        <x:v>detail</x:v>
      </x:c>
      <x:c r="D16" s="35" t="str">
        <x:v>1</x:v>
      </x:c>
      <x:c r="E16" s="35" t="str">
        <x:v>Yes</x:v>
      </x:c>
      <x:c r="F16" s="35" t="str">
        <x:v>Roman Wall Sconce</x:v>
      </x:c>
    </x:row>
    <x:row r="17" ht="34" customHeight="1">
      <x:c r="A17" s="35" t="str">
        <x:v>conservation_lab</x:v>
      </x:c>
      <x:c r="B17" s="35" t="str">
        <x:v>Central ivories collection</x:v>
      </x:c>
      <x:c r="C17" s="35" t="str">
        <x:v>collection</x:v>
      </x:c>
      <x:c r="D17" s="35" t="str">
        <x:v>12</x:v>
      </x:c>
      <x:c r="E17" s="35" t="str">
        <x:v>Yes</x:v>
      </x:c>
      <x:c r="F17" s="35" t="str">
        <x:v>IU Eskenazi Museum Ivories</x:v>
      </x:c>
    </x:row>
    <x:row r="18" ht="34" customHeight="1">
      <x:c r="A18" s="35" t="str">
        <x:v>conservation_lab</x:v>
      </x:c>
      <x:c r="B18" s="35" t="str">
        <x:v>Ivory Through the Ages</x:v>
      </x:c>
      <x:c r="C18" s="35" t="str">
        <x:v>timeline</x:v>
      </x:c>
      <x:c r="D18" s="35" t="str">
        <x:v>1</x:v>
      </x:c>
      <x:c r="E18" s="35" t="str">
        <x:v>Yes</x:v>
      </x:c>
      <x:c r="F18" s="35" t="str">
        <x:v>Ivory Through the Ages</x:v>
      </x:c>
    </x:row>
    <x:row r="19" ht="34" customHeight="1">
      <x:c r="A19" s="35" t="str">
        <x:v>conservation_lab</x:v>
      </x:c>
      <x:c r="B19" s="35" t="str">
        <x:v>Rear analysis workbench</x:v>
      </x:c>
      <x:c r="C19" s="35" t="str">
        <x:v>tool</x:v>
      </x:c>
      <x:c r="D19" s="35" t="str">
        <x:v>1</x:v>
      </x:c>
      <x:c r="E19" s="35" t="str">
        <x:v>Yes</x:v>
      </x:c>
      <x:c r="F19" s="35" t="str">
        <x:v>Analysis workbench</x:v>
      </x:c>
    </x:row>
    <x:row r="20" ht="34" customHeight="1">
      <x:c r="A20" s="35" t="str">
        <x:v>historical_society</x:v>
      </x:c>
      <x:c r="B20" s="35" t="str">
        <x:v>Local Lives</x:v>
      </x:c>
      <x:c r="C20" s="35" t="str">
        <x:v>timeline</x:v>
      </x:c>
      <x:c r="D20" s="35" t="str">
        <x:v>1</x:v>
      </x:c>
      <x:c r="E20" s="35" t="str">
        <x:v>Yes</x:v>
      </x:c>
      <x:c r="F20" s="35" t="str">
        <x:v>local_lives</x:v>
      </x:c>
    </x:row>
    <x:row r="21" ht="34" customHeight="1">
      <x:c r="A21" s="35" t="str">
        <x:v>historical_society</x:v>
      </x:c>
      <x:c r="B21" s="35" t="str">
        <x:v>Window-side case</x:v>
      </x:c>
      <x:c r="C21" s="35" t="str">
        <x:v>collection</x:v>
      </x:c>
      <x:c r="D21" s="35" t="str">
        <x:v>8</x:v>
      </x:c>
      <x:c r="E21" s="35" t="str">
        <x:v>Yes</x:v>
      </x:c>
      <x:c r="F21" s="35" t="str">
        <x:v>Reserved</x:v>
      </x:c>
    </x:row>
    <x:row r="22" ht="34" customHeight="1">
      <x:c r="A22" s="35" t="str">
        <x:v>historical_society</x:v>
      </x:c>
      <x:c r="B22" s="35" t="str">
        <x:v>Foreground-right case</x:v>
      </x:c>
      <x:c r="C22" s="35" t="str">
        <x:v>collection</x:v>
      </x:c>
      <x:c r="D22" s="35" t="str">
        <x:v>8</x:v>
      </x:c>
      <x:c r="E22" s="35" t="str">
        <x:v>Yes</x:v>
      </x:c>
      <x:c r="F22" s="35" t="str">
        <x:v>Reserved</x:v>
      </x:c>
    </x:row>
    <x:row r="23" ht="34" customHeight="1">
      <x:c r="A23" s="35" t="str">
        <x:v>historical_society</x:v>
      </x:c>
      <x:c r="B23" s="35" t="str">
        <x:v>Piano</x:v>
      </x:c>
      <x:c r="C23" s="35" t="str">
        <x:v>detail</x:v>
      </x:c>
      <x:c r="D23" s="35" t="str">
        <x:v>1</x:v>
      </x:c>
      <x:c r="E23" s="35" t="str">
        <x:v>Yes</x:v>
      </x:c>
      <x:c r="F23" s="35" t="str">
        <x:v>Piano</x:v>
      </x:c>
    </x:row>
    <x:row r="24" ht="34" customHeight="1">
      <x:c r="A24" s="35" t="str">
        <x:v>historical_society</x:v>
      </x:c>
      <x:c r="B24" s="35" t="str">
        <x:v>Billiards table</x:v>
      </x:c>
      <x:c r="C24" s="35" t="str">
        <x:v>detail</x:v>
      </x:c>
      <x:c r="D24" s="35" t="str">
        <x:v>1</x:v>
      </x:c>
      <x:c r="E24" s="35" t="str">
        <x:v>Yes</x:v>
      </x:c>
      <x:c r="F24" s="35" t="str">
        <x:v>Billiards table</x:v>
      </x:c>
    </x:row>
    <x:row r="25" ht="34" customHeight="1">
      <x:c r="A25" s="35" t="str">
        <x:v>attic</x:v>
      </x:c>
      <x:c r="B25" s="35" t="str">
        <x:v>Family Traces</x:v>
      </x:c>
      <x:c r="C25" s="35" t="str">
        <x:v>timeline</x:v>
      </x:c>
      <x:c r="D25" s="35" t="str">
        <x:v>1</x:v>
      </x:c>
      <x:c r="E25" s="35" t="str">
        <x:v>Yes</x:v>
      </x:c>
      <x:c r="F25" s="35" t="str">
        <x:v>family_traces</x:v>
      </x:c>
    </x:row>
    <x:row r="26" ht="34" customHeight="1">
      <x:c r="A26" s="35" t="str">
        <x:v>attic</x:v>
      </x:c>
      <x:c r="B26" s="35" t="str">
        <x:v>Left open trunk</x:v>
      </x:c>
      <x:c r="C26" s="35" t="str">
        <x:v>collection</x:v>
      </x:c>
      <x:c r="D26" s="35" t="str">
        <x:v>8</x:v>
      </x:c>
      <x:c r="E26" s="35" t="str">
        <x:v>Yes</x:v>
      </x:c>
      <x:c r="F26" s="35" t="str">
        <x:v>Reserved</x:v>
      </x:c>
    </x:row>
    <x:row r="27" ht="34" customHeight="1">
      <x:c r="A27" s="35" t="str">
        <x:v>attic</x:v>
      </x:c>
      <x:c r="B27" s="35" t="str">
        <x:v>Right open trunk</x:v>
      </x:c>
      <x:c r="C27" s="35" t="str">
        <x:v>collection</x:v>
      </x:c>
      <x:c r="D27" s="35" t="str">
        <x:v>8</x:v>
      </x:c>
      <x:c r="E27" s="35" t="str">
        <x:v>Yes</x:v>
      </x:c>
      <x:c r="F27" s="35" t="str">
        <x:v>Reserved</x:v>
      </x:c>
    </x:row>
    <x:row r="28" ht="34" customHeight="1">
      <x:c r="A28" s="35" t="str">
        <x:v>attic</x:v>
      </x:c>
      <x:c r="B28" s="35" t="str">
        <x:v>Shelving</x:v>
      </x:c>
      <x:c r="C28" s="35" t="str">
        <x:v>collection</x:v>
      </x:c>
      <x:c r="D28" s="35" t="str">
        <x:v>8</x:v>
      </x:c>
      <x:c r="E28" s="35" t="str">
        <x:v>Yes</x:v>
      </x:c>
      <x:c r="F28" s="35" t="str">
        <x:v>Reserved</x:v>
      </x:c>
    </x:row>
    <x:row r="29" ht="34" customHeight="1">
      <x:c r="A29" s="35" t="str">
        <x:v>attic</x:v>
      </x:c>
      <x:c r="B29" s="35" t="str">
        <x:v>Research table</x:v>
      </x:c>
      <x:c r="C29" s="35" t="str">
        <x:v>collection</x:v>
      </x:c>
      <x:c r="D29" s="35" t="str">
        <x:v>8</x:v>
      </x:c>
      <x:c r="E29" s="35" t="str">
        <x:v>Yes</x:v>
      </x:c>
      <x:c r="F29" s="35" t="str">
        <x:v>Reserved</x:v>
      </x:c>
    </x:row>
    <x:row r="30" ht="34" customHeight="1">
      <x:c r="A30" s="35" t="str">
        <x:v>natural_history</x:v>
      </x:c>
      <x:c r="B30" s="35" t="str">
        <x:v>Tusk specimen</x:v>
      </x:c>
      <x:c r="C30" s="35" t="str">
        <x:v>detail</x:v>
      </x:c>
      <x:c r="D30" s="35" t="str">
        <x:v>1</x:v>
      </x:c>
      <x:c r="E30" s="35" t="str">
        <x:v>Yes</x:v>
      </x:c>
      <x:c r="F30" s="35" t="str">
        <x:v>Elephant tusk</x:v>
      </x:c>
    </x:row>
    <x:row r="31" ht="34" customHeight="1">
      <x:c r="A31" s="35" t="str">
        <x:v>natural_history</x:v>
      </x:c>
      <x:c r="B31" s="35" t="str">
        <x:v>Specimen label</x:v>
      </x:c>
      <x:c r="C31" s="35" t="str">
        <x:v>detail</x:v>
      </x:c>
      <x:c r="D31" s="35" t="str">
        <x:v>1</x:v>
      </x:c>
      <x:c r="E31" s="35" t="str">
        <x:v>Yes</x:v>
      </x:c>
      <x:c r="F31" s="35" t="str">
        <x:v>Elephant tusk</x:v>
      </x:c>
    </x:row>
    <x:row r="32" ht="34" customHeight="1">
      <x:c r="A32" s="35" t="str">
        <x:v>natural_history</x:v>
      </x:c>
      <x:c r="B32" s="35" t="str">
        <x:v>Elephant interpretation panel</x:v>
      </x:c>
      <x:c r="C32" s="35" t="str">
        <x:v>detail</x:v>
      </x:c>
      <x:c r="D32" s="35" t="str">
        <x:v>1</x:v>
      </x:c>
      <x:c r="E32" s="35" t="str">
        <x:v>Yes</x:v>
      </x:c>
      <x:c r="F32" s="35" t="str">
        <x:v>Natural History Intro</x:v>
      </x:c>
    </x:row>
    <x:row r="33" ht="34" customHeight="1">
      <x:c r="A33" s="35" t="str">
        <x:v>natural_history</x:v>
      </x:c>
      <x:c r="B33" s="35" t="str">
        <x:v>Central recessed panel</x:v>
      </x:c>
      <x:c r="C33" s="35" t="str">
        <x:v>collection</x:v>
      </x:c>
      <x:c r="D33" s="35" t="str">
        <x:v>8</x:v>
      </x:c>
      <x:c r="E33" s="35" t="str">
        <x:v>Yes</x:v>
      </x:c>
      <x:c r="F33" s="35" t="str">
        <x:v>Geib Flute</x:v>
      </x:c>
    </x:row>
    <x:row r="34" ht="34" customHeight="1">
      <x:c r="A34" s="35" t="str">
        <x:v>natural_history</x:v>
      </x:c>
      <x:c r="B34" s="35" t="str">
        <x:v>Wall map</x:v>
      </x:c>
      <x:c r="C34" s="35" t="str">
        <x:v>tool</x:v>
      </x:c>
      <x:c r="D34" s="35" t="str">
        <x:v>1</x:v>
      </x:c>
      <x:c r="E34" s="35" t="str">
        <x:v>Yes</x:v>
      </x:c>
      <x:c r="F34" s="35" t="str">
        <x:v>World map</x:v>
      </x:c>
    </x:row>
    <x:row r="35" ht="34" customHeight="1">
      <x:c r="A35" s="35" t="str">
        <x:v>natural_history</x:v>
      </x:c>
      <x:c r="B35" s="35" t="str">
        <x:v>Ivory Through Time poster</x:v>
      </x:c>
      <x:c r="C35" s="35" t="str">
        <x:v>timeline</x:v>
      </x:c>
      <x:c r="D35" s="35" t="str">
        <x:v>1</x:v>
      </x:c>
      <x:c r="E35" s="35" t="str">
        <x:v>Yes</x:v>
      </x:c>
      <x:c r="F35" s="35" t="str">
        <x:v>Ivory Through Time</x:v>
      </x:c>
    </x:row>
    <x:row r="36" ht="34" customHeight="1">
      <x:c r="A36" s="35" t="str">
        <x:v>natural_history</x:v>
      </x:c>
      <x:c r="B36" s="35" t="str">
        <x:v>Habitation map within explorer</x:v>
      </x:c>
      <x:c r="C36" s="35" t="str">
        <x:v>tool</x:v>
      </x:c>
      <x:c r="D36" s="35" t="str">
        <x:v>1</x:v>
      </x:c>
      <x:c r="E36" s="35" t="str">
        <x:v>Yes</x:v>
      </x:c>
      <x:c r="F36" s="35" t="str">
        <x:v>Habitation map</x:v>
      </x:c>
    </x:row>
    <x:row r="37" ht="34" customHeight="1">
      <x:c r="A37" s="35" t="str">
        <x:v>natural_history</x:v>
      </x:c>
      <x:c r="B37" s="35" t="str">
        <x:v>Background wall curator mount</x:v>
      </x:c>
      <x:c r="C37" s="35" t="str">
        <x:v>collection</x:v>
      </x:c>
      <x:c r="D37" s="35" t="str">
        <x:v>8</x:v>
      </x:c>
      <x:c r="E37" s="35" t="str">
        <x:v>Yes</x:v>
      </x:c>
      <x:c r="F37" s="35" t="str">
        <x:v>Reserved</x:v>
      </x:c>
    </x:row>
    <x:row r="38" ht="34" customHeight="1">
      <x:c r="A38" s="35" t="str">
        <x:v>natural_history</x:v>
      </x:c>
      <x:c r="B38" s="35" t="str">
        <x:v>Ivory inquiry</x:v>
      </x:c>
      <x:c r="C38" s="35" t="str">
        <x:v>tool</x:v>
      </x:c>
      <x:c r="D38" s="35" t="str">
        <x:v>1</x:v>
      </x:c>
      <x:c r="E38" s="35" t="str">
        <x:v>Yes</x:v>
      </x:c>
      <x:c r="F38" s="35" t="str">
        <x:v>Ivory Inquiry Terminal</x:v>
      </x:c>
    </x:row>
    <x:row r="39" ht="34" customHeight="1">
      <x:c r="A39" s="35" t="str">
        <x:v>natural_history</x:v>
      </x:c>
      <x:c r="B39" s="35" t="str">
        <x:v>Foreground table left</x:v>
      </x:c>
      <x:c r="C39" s="35" t="str">
        <x:v>collection</x:v>
      </x:c>
      <x:c r="D39" s="35" t="str">
        <x:v>4</x:v>
      </x:c>
      <x:c r="E39" s="35" t="str">
        <x:v>Yes</x:v>
      </x:c>
      <x:c r="F39" s="35" t="str">
        <x:v>Reserved</x:v>
      </x:c>
    </x:row>
    <x:row r="40" ht="34" customHeight="1">
      <x:c r="A40" s="35" t="str">
        <x:v>natural_history</x:v>
      </x:c>
      <x:c r="B40" s="35" t="str">
        <x:v>Foreground table right</x:v>
      </x:c>
      <x:c r="C40" s="35" t="str">
        <x:v>collection</x:v>
      </x:c>
      <x:c r="D40" s="35" t="str">
        <x:v>4</x:v>
      </x:c>
      <x:c r="E40" s="35" t="str">
        <x:v>Yes</x:v>
      </x:c>
      <x:c r="F40" s="35" t="str">
        <x:v>Reserved</x:v>
      </x:c>
    </x:row>
    <x:row r="41" ht="34" customHeight="1">
      <x:c r="A41" s="35" t="str">
        <x:v>conservators_office</x:v>
      </x:c>
      <x:c r="B41" s="35" t="str">
        <x:v>Desk terminal</x:v>
      </x:c>
      <x:c r="C41" s="35" t="str">
        <x:v>tool</x:v>
      </x:c>
      <x:c r="D41" s="35" t="str">
        <x:v>1</x:v>
      </x:c>
      <x:c r="E41" s="35" t="str">
        <x:v>Yes</x:v>
      </x:c>
      <x:c r="F41" s="35" t="str">
        <x:v>Curation terminal</x:v>
      </x:c>
    </x:row>
    <x:row r="42" ht="34" customHeight="1">
      <x:c r="A42" s="35" t="str">
        <x:v>conservators_office</x:v>
      </x:c>
      <x:c r="B42" s="35" t="str">
        <x:v>Left shelving</x:v>
      </x:c>
      <x:c r="C42" s="35" t="str">
        <x:v>collection</x:v>
      </x:c>
      <x:c r="D42" s="35" t="str">
        <x:v>8</x:v>
      </x:c>
      <x:c r="E42" s="35" t="str">
        <x:v>Yes</x:v>
      </x:c>
      <x:c r="F42" s="35" t="str">
        <x:v>Reserved</x:v>
      </x:c>
    </x:row>
    <x:row r="43" ht="34" customHeight="1">
      <x:c r="A43" s="35" t="str">
        <x:v>conservators_office</x:v>
      </x:c>
      <x:c r="B43" s="35" t="str">
        <x:v>Rear shelving</x:v>
      </x:c>
      <x:c r="C43" s="35" t="str">
        <x:v>collection</x:v>
      </x:c>
      <x:c r="D43" s="35" t="str">
        <x:v>8</x:v>
      </x:c>
      <x:c r="E43" s="35" t="str">
        <x:v>Yes</x:v>
      </x:c>
      <x:c r="F43" s="35" t="str">
        <x:v>Reserved</x:v>
      </x:c>
    </x:row>
    <x:row r="44" ht="34" customHeight="1">
      <x:c r="A44" s="35" t="str">
        <x:v>conservators_office</x:v>
      </x:c>
      <x:c r="B44" s="35" t="str">
        <x:v>Right shelving</x:v>
      </x:c>
      <x:c r="C44" s="35" t="str">
        <x:v>collection</x:v>
      </x:c>
      <x:c r="D44" s="35" t="str">
        <x:v>8</x:v>
      </x:c>
      <x:c r="E44" s="35" t="str">
        <x:v>Yes</x:v>
      </x:c>
      <x:c r="F44" s="35" t="str">
        <x:v>Reserved</x:v>
      </x:c>
    </x:row>
    <x:row r="45" ht="34" customHeight="1">
      <x:c r="A45" s="35" t="str">
        <x:v>conservators_office</x:v>
      </x:c>
      <x:c r="B45" s="35" t="str">
        <x:v>Elephant wall panel</x:v>
      </x:c>
      <x:c r="C45" s="35" t="str">
        <x:v>detail</x:v>
      </x:c>
      <x:c r="D45" s="35" t="str">
        <x:v>1</x:v>
      </x:c>
      <x:c r="E45" s="35" t="str">
        <x:v>Yes</x:v>
      </x:c>
      <x:c r="F45" s="35" t="str">
        <x:v>Conservators Office Intro</x:v>
      </x:c>
    </x:row>
    <x:row r="46" ht="34" customHeight="1">
      <x:c r="A46" s="35" t="str">
        <x:v>lab</x:v>
      </x:c>
      <x:c r="B46" s="35" t="str">
        <x:v>Analysis bench</x:v>
      </x:c>
      <x:c r="C46" s="35" t="str">
        <x:v>collection</x:v>
      </x:c>
      <x:c r="D46" s="35" t="str">
        <x:v>8</x:v>
      </x:c>
      <x:c r="E46" s="35" t="str">
        <x:v>Yes</x:v>
      </x:c>
      <x:c r="F46" s="35" t="str">
        <x:v>Reserved</x:v>
      </x:c>
    </x:row>
    <x:row r="47" ht="34" customHeight="1">
      <x:c r="A47" s="35" t="str">
        <x:v>lab</x:v>
      </x:c>
      <x:c r="B47" s="35" t="str">
        <x:v>Equipment</x:v>
      </x:c>
      <x:c r="C47" s="35" t="str">
        <x:v>collection</x:v>
      </x:c>
      <x:c r="D47" s="35" t="str">
        <x:v>8</x:v>
      </x:c>
      <x:c r="E47" s="35" t="str">
        <x:v>Yes</x:v>
      </x:c>
      <x:c r="F47" s="35" t="str">
        <x:v>Reserved</x:v>
      </x:c>
    </x:row>
    <x:row r="48" ht="34" customHeight="1">
      <x:c r="A48" s="35" t="str">
        <x:v>lab</x:v>
      </x:c>
      <x:c r="B48" s="35" t="str">
        <x:v>Left cabinet</x:v>
      </x:c>
      <x:c r="C48" s="35" t="str">
        <x:v>collection</x:v>
      </x:c>
      <x:c r="D48" s="35" t="str">
        <x:v>8</x:v>
      </x:c>
      <x:c r="E48" s="35" t="str">
        <x:v>Yes</x:v>
      </x:c>
      <x:c r="F48" s="35" t="str">
        <x:v>Reserved</x:v>
      </x:c>
    </x:row>
    <x:row r="49" ht="34" customHeight="1">
      <x:c r="A49" s="35" t="str">
        <x:v>lab</x:v>
      </x:c>
      <x:c r="B49" s="35" t="str">
        <x:v>Right cabinet</x:v>
      </x:c>
      <x:c r="C49" s="35" t="str">
        <x:v>collection</x:v>
      </x:c>
      <x:c r="D49" s="35" t="str">
        <x:v>8</x:v>
      </x:c>
      <x:c r="E49" s="35" t="str">
        <x:v>Yes</x:v>
      </x:c>
      <x:c r="F49" s="35" t="str">
        <x:v>Reserved</x:v>
      </x:c>
    </x:row>
    <x:row r="50" ht="34" customHeight="1">
      <x:c r="A50" s="35" t="str">
        <x:v>lab</x:v>
      </x:c>
      <x:c r="B50" s="35" t="str">
        <x:v>Attic access context</x:v>
      </x:c>
      <x:c r="C50" s="35" t="str">
        <x:v>tool</x:v>
      </x:c>
      <x:c r="D50" s="35" t="str">
        <x:v>1</x:v>
      </x:c>
      <x:c r="E50" s="35" t="str">
        <x:v>Yes</x:v>
      </x:c>
      <x:c r="F50" s="35" t="str">
        <x:v>Attic investigations</x:v>
      </x:c>
    </x:row>
    <x:row r="51" ht="34" customHeight="1">
      <x:c r="A51" s="35" t="str">
        <x:v>gallery</x:v>
      </x:c>
      <x:c r="B51" s="35" t="str">
        <x:v>New access point</x:v>
      </x:c>
      <x:c r="C51" s="35" t="str">
        <x:v>detail</x:v>
      </x:c>
      <x:c r="D51" s="35" t="str">
        <x:v>1</x:v>
      </x:c>
      <x:c r="E51" s="35" t="str">
        <x:v>Yes</x:v>
      </x:c>
      <x:c r="F51" s="35" t="str">
        <x:v>Reserved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28" t="str">
        <x:v>Review what visitors can currently see. Change the backend Placements published field to true or false, then run the workbook check before sharing.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1" t="str">
        <x:v>Room</x:v>
      </x:c>
      <x:c r="B3" s="31" t="str">
        <x:v>Where should it appear?</x:v>
      </x:c>
      <x:c r="C3" s="31" t="str">
        <x:v>Item title</x:v>
      </x:c>
      <x:c r="D3" s="31" t="str">
        <x:v>What kind of item is this?</x:v>
      </x:c>
      <x:c r="E3" s="31" t="str">
        <x:v>Show to visitors?</x:v>
      </x:c>
      <x:c r="F3" s="31" t="str">
        <x:v>Placement ID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Gallery Intro</x:v>
      </x:c>
      <x:c r="D4" s="35" t="str">
        <x:v>detail</x:v>
      </x:c>
      <x:c r="E4" s="35" t="str">
        <x:v>Yes</x:v>
      </x:c>
      <x:c r="F4" s="35" t="str">
        <x:v>gallery_intro_1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Conservation Lab Intro</x:v>
      </x:c>
      <x:c r="D5" s="35" t="str">
        <x:v>detail</x:v>
      </x:c>
      <x:c r="E5" s="35" t="str">
        <x:v>Yes</x:v>
      </x:c>
      <x:c r="F5" s="35" t="str">
        <x:v>conservation_lab_intro_1</x:v>
      </x:c>
    </x:row>
    <x:row r="6" ht="34" customHeight="1">
      <x:c r="A6" s="35" t="str">
        <x:v>vestibule</x:v>
      </x:c>
      <x:c r="B6" s="35" t="str">
        <x:v>Welcome and check-in</x:v>
      </x:c>
      <x:c r="C6" s="35" t="str">
        <x:v>Welcome to ArchIvory</x:v>
      </x:c>
      <x:c r="D6" s="35" t="str">
        <x:v>tool</x:v>
      </x:c>
      <x:c r="E6" s="35" t="str">
        <x:v>Yes</x:v>
      </x:c>
      <x:c r="F6" s="35" t="str">
        <x:v>vestibule_welcome_01_1</x:v>
      </x:c>
    </x:row>
    <x:row r="7" ht="34" customHeight="1">
      <x:c r="A7" s="35" t="str">
        <x:v>gallery</x:v>
      </x:c>
      <x:c r="B7" s="35" t="str">
        <x:v>Near left-wall relief</x:v>
      </x:c>
      <x:c r="C7" s="35" t="str">
        <x:v>Illustrated relief — identity unverified</x:v>
      </x:c>
      <x:c r="D7" s="35" t="str">
        <x:v>detail</x:v>
      </x:c>
      <x:c r="E7" s="35" t="str">
        <x:v>No</x:v>
      </x:c>
      <x:c r="F7" s="35" t="str">
        <x:v>gallery_wall_01_1</x:v>
      </x:c>
    </x:row>
    <x:row r="8" ht="34" customHeight="1">
      <x:c r="A8" s="35" t="str">
        <x:v>gallery</x:v>
      </x:c>
      <x:c r="B8" s="35" t="str">
        <x:v>Near left-wall relief</x:v>
      </x:c>
      <x:c r="C8" s="35" t="str">
        <x:v>Susanna and the Elders</x:v>
      </x:c>
      <x:c r="D8" s="35" t="str">
        <x:v>detail</x:v>
      </x:c>
      <x:c r="E8" s="35" t="str">
        <x:v>Yes</x:v>
      </x:c>
      <x:c r="F8" s="35" t="str">
        <x:v>gallery_wall_01_2</x:v>
      </x:c>
    </x:row>
    <x:row r="9" ht="34" customHeight="1">
      <x:c r="A9" s="35" t="str">
        <x:v>gallery</x:v>
      </x:c>
      <x:c r="B9" s="35" t="str">
        <x:v>Far left-wall relief</x:v>
      </x:c>
      <x:c r="C9" s="35" t="str">
        <x:v>Illustrated relief — identity unverified</x:v>
      </x:c>
      <x:c r="D9" s="35" t="str">
        <x:v>detail</x:v>
      </x:c>
      <x:c r="E9" s="35" t="str">
        <x:v>Yes</x:v>
      </x:c>
      <x:c r="F9" s="35" t="str">
        <x:v>gallery_wall_02_1</x:v>
      </x:c>
    </x:row>
    <x:row r="10" ht="34" customHeight="1">
      <x:c r="A10" s="35" t="str">
        <x:v>gallery</x:v>
      </x:c>
      <x:c r="B10" s="35" t="str">
        <x:v>Far left-wall relief</x:v>
      </x:c>
      <x:c r="C10" s="35" t="str">
        <x:v>Barberini Ivory</x:v>
      </x:c>
      <x:c r="D10" s="35" t="str">
        <x:v>detail</x:v>
      </x:c>
      <x:c r="E10" s="35" t="str">
        <x:v>Yes</x:v>
      </x:c>
      <x:c r="F10" s="35" t="str">
        <x:v>gallery_wall_02_2</x:v>
      </x:c>
    </x:row>
    <x:row r="11" ht="34" customHeight="1">
      <x:c r="A11" s="35" t="str">
        <x:v>gallery</x:v>
      </x:c>
      <x:c r="B11" s="35" t="str">
        <x:v>Front glass case</x:v>
      </x:c>
      <x:c r="C11" s="35" t="str">
        <x:v>Illustrated folding fan</x:v>
      </x:c>
      <x:c r="D11" s="35" t="str">
        <x:v>detail</x:v>
      </x:c>
      <x:c r="E11" s="35" t="str">
        <x:v>Yes</x:v>
      </x:c>
      <x:c r="F11" s="35" t="str">
        <x:v>gallery_case_01_1</x:v>
      </x:c>
    </x:row>
    <x:row r="12" ht="34" customHeight="1">
      <x:c r="A12" s="35" t="str">
        <x:v>gallery</x:v>
      </x:c>
      <x:c r="B12" s="35" t="str">
        <x:v>Small rear-wall frame</x:v>
      </x:c>
      <x:c r="C12" s="35" t="str">
        <x:v>Roman Wall Sconce</x:v>
      </x:c>
      <x:c r="D12" s="35" t="str">
        <x:v>detail</x:v>
      </x:c>
      <x:c r="E12" s="35" t="str">
        <x:v>Yes</x:v>
      </x:c>
      <x:c r="F12" s="35" t="str">
        <x:v>gallery_wall_03_1</x:v>
      </x:c>
    </x:row>
    <x:row r="13" ht="34" customHeight="1">
      <x:c r="A13" s="35" t="str">
        <x:v>conservation_lab</x:v>
      </x:c>
      <x:c r="B13" s="35" t="str">
        <x:v>Central ivories collection</x:v>
      </x:c>
      <x:c r="C13" s="35" t="str">
        <x:v>IU Eskenazi Museum Ivories</x:v>
      </x:c>
      <x:c r="D13" s="35" t="str">
        <x:v>detail</x:v>
      </x:c>
      <x:c r="E13" s="35" t="str">
        <x:v>Yes</x:v>
      </x:c>
      <x:c r="F13" s="35" t="str">
        <x:v>conservation_lab_table_01_1</x:v>
      </x:c>
    </x:row>
    <x:row r="14" ht="34" customHeight="1">
      <x:c r="A14" s="35" t="str">
        <x:v>conservation_lab</x:v>
      </x:c>
      <x:c r="B14" s="35" t="str">
        <x:v>Ivory Through the Ages</x:v>
      </x:c>
      <x:c r="C14" s="35" t="str">
        <x:v>Ivory Through the Ages</x:v>
      </x:c>
      <x:c r="D14" s="35" t="str">
        <x:v>timeline</x:v>
      </x:c>
      <x:c r="E14" s="35" t="str">
        <x:v>Yes</x:v>
      </x:c>
      <x:c r="F14" s="35" t="str">
        <x:v>conservation_lab_timeline_01_1</x:v>
      </x:c>
    </x:row>
    <x:row r="15" ht="34" customHeight="1">
      <x:c r="A15" s="35" t="str">
        <x:v>conservation_lab</x:v>
      </x:c>
      <x:c r="B15" s="35" t="str">
        <x:v>Rear analysis workbench</x:v>
      </x:c>
      <x:c r="C15" s="35" t="str">
        <x:v>Analysis workbench</x:v>
      </x:c>
      <x:c r="D15" s="35" t="str">
        <x:v>tool</x:v>
      </x:c>
      <x:c r="E15" s="35" t="str">
        <x:v>Yes</x:v>
      </x:c>
      <x:c r="F15" s="35" t="str">
        <x:v>conservation_lab_media_01_1</x:v>
      </x:c>
    </x:row>
    <x:row r="16" ht="34" customHeight="1">
      <x:c r="A16" s="35" t="str">
        <x:v>historical_society</x:v>
      </x:c>
      <x:c r="B16" s="35" t="str">
        <x:v>Local Lives</x:v>
      </x:c>
      <x:c r="C16" s="35" t="str">
        <x:v>local_lives</x:v>
      </x:c>
      <x:c r="D16" s="35" t="str">
        <x:v>timeline</x:v>
      </x:c>
      <x:c r="E16" s="35" t="str">
        <x:v>Yes</x:v>
      </x:c>
      <x:c r="F16" s="35" t="str">
        <x:v>historical_society_timeline_01_1</x:v>
      </x:c>
    </x:row>
    <x:row r="17" ht="34" customHeight="1">
      <x:c r="A17" s="35" t="str">
        <x:v>historical_society</x:v>
      </x:c>
      <x:c r="B17" s="35" t="str">
        <x:v>Piano</x:v>
      </x:c>
      <x:c r="C17" s="35" t="str">
        <x:v>Piano</x:v>
      </x:c>
      <x:c r="D17" s="35" t="str">
        <x:v>detail</x:v>
      </x:c>
      <x:c r="E17" s="35" t="str">
        <x:v>Yes</x:v>
      </x:c>
      <x:c r="F17" s="35" t="str">
        <x:v>historical_society_piano_01_1</x:v>
      </x:c>
    </x:row>
    <x:row r="18" ht="34" customHeight="1">
      <x:c r="A18" s="35" t="str">
        <x:v>historical_society</x:v>
      </x:c>
      <x:c r="B18" s="35" t="str">
        <x:v>Billiards table</x:v>
      </x:c>
      <x:c r="C18" s="35" t="str">
        <x:v>Billiards table</x:v>
      </x:c>
      <x:c r="D18" s="35" t="str">
        <x:v>detail</x:v>
      </x:c>
      <x:c r="E18" s="35" t="str">
        <x:v>Yes</x:v>
      </x:c>
      <x:c r="F18" s="35" t="str">
        <x:v>historical_society_table_01_1</x:v>
      </x:c>
    </x:row>
    <x:row r="19" ht="34" customHeight="1">
      <x:c r="A19" s="35" t="str">
        <x:v>attic</x:v>
      </x:c>
      <x:c r="B19" s="35" t="str">
        <x:v>Family Traces</x:v>
      </x:c>
      <x:c r="C19" s="35" t="str">
        <x:v>family_traces</x:v>
      </x:c>
      <x:c r="D19" s="35" t="str">
        <x:v>timeline</x:v>
      </x:c>
      <x:c r="E19" s="35" t="str">
        <x:v>Yes</x:v>
      </x:c>
      <x:c r="F19" s="35" t="str">
        <x:v>attic_timeline_01_1</x:v>
      </x:c>
    </x:row>
    <x:row r="20" ht="34" customHeight="1">
      <x:c r="A20" s="35" t="str">
        <x:v>natural_history</x:v>
      </x:c>
      <x:c r="B20" s="35" t="str">
        <x:v>Tusk specimen</x:v>
      </x:c>
      <x:c r="C20" s="35" t="str">
        <x:v>Elephant tusk</x:v>
      </x:c>
      <x:c r="D20" s="35" t="str">
        <x:v>detail</x:v>
      </x:c>
      <x:c r="E20" s="35" t="str">
        <x:v>Yes</x:v>
      </x:c>
      <x:c r="F20" s="35" t="str">
        <x:v>natural_history_specimen_01_1</x:v>
      </x:c>
    </x:row>
    <x:row r="21" ht="34" customHeight="1">
      <x:c r="A21" s="35" t="str">
        <x:v>natural_history</x:v>
      </x:c>
      <x:c r="B21" s="35" t="str">
        <x:v>Specimen label</x:v>
      </x:c>
      <x:c r="C21" s="35" t="str">
        <x:v>Elephant tusk</x:v>
      </x:c>
      <x:c r="D21" s="35" t="str">
        <x:v>detail</x:v>
      </x:c>
      <x:c r="E21" s="35" t="str">
        <x:v>Yes</x:v>
      </x:c>
      <x:c r="F21" s="35" t="str">
        <x:v>natural_history_specimen_01_label_1</x:v>
      </x:c>
    </x:row>
    <x:row r="22" ht="34" customHeight="1">
      <x:c r="A22" s="35" t="str">
        <x:v>natural_history</x:v>
      </x:c>
      <x:c r="B22" s="35" t="str">
        <x:v>Elephant interpretation panel</x:v>
      </x:c>
      <x:c r="C22" s="35" t="str">
        <x:v>Natural History Intro</x:v>
      </x:c>
      <x:c r="D22" s="35" t="str">
        <x:v>detail</x:v>
      </x:c>
      <x:c r="E22" s="35" t="str">
        <x:v>Yes</x:v>
      </x:c>
      <x:c r="F22" s="35" t="str">
        <x:v>natural_history_panel_01_1</x:v>
      </x:c>
    </x:row>
    <x:row r="23" ht="34" customHeight="1">
      <x:c r="A23" s="35" t="str">
        <x:v>natural_history</x:v>
      </x:c>
      <x:c r="B23" s="35" t="str">
        <x:v>Wall map</x:v>
      </x:c>
      <x:c r="C23" s="35" t="str">
        <x:v>World map</x:v>
      </x:c>
      <x:c r="D23" s="35" t="str">
        <x:v>tool</x:v>
      </x:c>
      <x:c r="E23" s="35" t="str">
        <x:v>Yes</x:v>
      </x:c>
      <x:c r="F23" s="35" t="str">
        <x:v>natural_history_map_01_1</x:v>
      </x:c>
    </x:row>
    <x:row r="24" ht="34" customHeight="1">
      <x:c r="A24" s="35" t="str">
        <x:v>natural_history</x:v>
      </x:c>
      <x:c r="B24" s="35" t="str">
        <x:v>Ivory Through Time poster</x:v>
      </x:c>
      <x:c r="C24" s="35" t="str">
        <x:v>Ivory Through Time</x:v>
      </x:c>
      <x:c r="D24" s="35" t="str">
        <x:v>timeline</x:v>
      </x:c>
      <x:c r="E24" s="35" t="str">
        <x:v>Yes</x:v>
      </x:c>
      <x:c r="F24" s="35" t="str">
        <x:v>natural_history_timeline_01_1</x:v>
      </x:c>
    </x:row>
    <x:row r="25" ht="34" customHeight="1">
      <x:c r="A25" s="35" t="str">
        <x:v>natural_history</x:v>
      </x:c>
      <x:c r="B25" s="35" t="str">
        <x:v>Habitation map within explorer</x:v>
      </x:c>
      <x:c r="C25" s="35" t="str">
        <x:v>Habitation map</x:v>
      </x:c>
      <x:c r="D25" s="35" t="str">
        <x:v>tool</x:v>
      </x:c>
      <x:c r="E25" s="35" t="str">
        <x:v>Yes</x:v>
      </x:c>
      <x:c r="F25" s="35" t="str">
        <x:v>natural_history_map_02_1</x:v>
      </x:c>
    </x:row>
    <x:row r="26" ht="34" customHeight="1">
      <x:c r="A26" s="35" t="str">
        <x:v>natural_history</x:v>
      </x:c>
      <x:c r="B26" s="35" t="str">
        <x:v>Ivory inquiry</x:v>
      </x:c>
      <x:c r="C26" s="35" t="str">
        <x:v>Ivory Inquiry Terminal</x:v>
      </x:c>
      <x:c r="D26" s="35" t="str">
        <x:v>tool</x:v>
      </x:c>
      <x:c r="E26" s="35" t="str">
        <x:v>Yes</x:v>
      </x:c>
      <x:c r="F26" s="35" t="str">
        <x:v>natural_history_inquiry_01_1</x:v>
      </x:c>
    </x:row>
    <x:row r="27" ht="34" customHeight="1">
      <x:c r="A27" s="35" t="str">
        <x:v>conservators_office</x:v>
      </x:c>
      <x:c r="B27" s="35" t="str">
        <x:v>Desk terminal</x:v>
      </x:c>
      <x:c r="C27" s="35" t="str">
        <x:v>Curation terminal</x:v>
      </x:c>
      <x:c r="D27" s="35" t="str">
        <x:v>tool</x:v>
      </x:c>
      <x:c r="E27" s="35" t="str">
        <x:v>Yes</x:v>
      </x:c>
      <x:c r="F27" s="35" t="str">
        <x:v>conservators_office_terminal_01_1</x:v>
      </x:c>
    </x:row>
    <x:row r="28" ht="34" customHeight="1">
      <x:c r="A28" s="35" t="str">
        <x:v>conservators_office</x:v>
      </x:c>
      <x:c r="B28" s="35" t="str">
        <x:v>Elephant wall panel</x:v>
      </x:c>
      <x:c r="C28" s="35" t="str">
        <x:v>Conservators Office Intro</x:v>
      </x:c>
      <x:c r="D28" s="35" t="str">
        <x:v>detail</x:v>
      </x:c>
      <x:c r="E28" s="35" t="str">
        <x:v>Yes</x:v>
      </x:c>
      <x:c r="F28" s="35" t="str">
        <x:v>conservators_office_panel_01_1</x:v>
      </x:c>
    </x:row>
    <x:row r="29" ht="34" customHeight="1">
      <x:c r="A29" s="35" t="str">
        <x:v>lab</x:v>
      </x:c>
      <x:c r="B29" s="35" t="str">
        <x:v>Attic access context</x:v>
      </x:c>
      <x:c r="C29" s="35" t="str">
        <x:v>Attic investigations</x:v>
      </x:c>
      <x:c r="D29" s="35" t="str">
        <x:v>tool</x:v>
      </x:c>
      <x:c r="E29" s="35" t="str">
        <x:v>Yes</x:v>
      </x:c>
      <x:c r="F29" s="35" t="str">
        <x:v>lab_attic_context_01_1</x:v>
      </x:c>
    </x:row>
    <x:row r="30" ht="34" customHeight="1">
      <x:c r="A30" s="35" t="str">
        <x:v>natural_history</x:v>
      </x:c>
      <x:c r="B30" s="35" t="str">
        <x:v>Central recessed panel</x:v>
      </x:c>
      <x:c r="C30" s="35" t="str">
        <x:v>Geib Flute</x:v>
      </x:c>
      <x:c r="D30" s="35" t="str">
        <x:v>detail</x:v>
      </x:c>
      <x:c r="E30" s="35" t="str">
        <x:v>Yes</x:v>
      </x:c>
      <x:c r="F30" s="35" t="str">
        <x:v>geib-flute</x:v>
      </x:c>
    </x:row>
    <x:row r="31" ht="34" customHeight="1">
      <x:c r="A31" s="35" t="str">
        <x:v>historical_society</x:v>
      </x:c>
      <x:c r="B31" s="35" t="str">
        <x:v>Historical Society introduction</x:v>
      </x:c>
      <x:c r="C31" s="35" t="str"/>
      <x:c r="D31" s="35" t="str">
        <x:v>detail</x:v>
      </x:c>
      <x:c r="E31" s="35" t="str">
        <x:v>No</x:v>
      </x:c>
      <x:c r="F31" s="35" t="str">
        <x:v>draft_historical_society_intro</x:v>
      </x:c>
    </x:row>
    <x:row r="32" ht="34" customHeight="1">
      <x:c r="A32" s="35" t="str">
        <x:v>attic</x:v>
      </x:c>
      <x:c r="B32" s="35" t="str">
        <x:v>Attic introduction</x:v>
      </x:c>
      <x:c r="C32" s="35" t="str"/>
      <x:c r="D32" s="35" t="str">
        <x:v>detail</x:v>
      </x:c>
      <x:c r="E32" s="35" t="str">
        <x:v>No</x:v>
      </x:c>
      <x:c r="F32" s="35" t="str">
        <x:v>draft_attic_intro</x:v>
      </x:c>
    </x:row>
    <x:row r="33" ht="34" customHeight="1">
      <x:c r="A33" s="35" t="str">
        <x:v>natural_history</x:v>
      </x:c>
      <x:c r="B33" s="35" t="str">
        <x:v>Natural History Museum introduction</x:v>
      </x:c>
      <x:c r="C33" s="35" t="str"/>
      <x:c r="D33" s="35" t="str">
        <x:v>detail</x:v>
      </x:c>
      <x:c r="E33" s="35" t="str">
        <x:v>No</x:v>
      </x:c>
      <x:c r="F33" s="35" t="str">
        <x:v>draft_natural_history_intro</x:v>
      </x:c>
    </x:row>
    <x:row r="34" ht="34" customHeight="1">
      <x:c r="A34" s="35" t="str">
        <x:v>conservators_office</x:v>
      </x:c>
      <x:c r="B34" s="35" t="str">
        <x:v>Conservator's Office introduction</x:v>
      </x:c>
      <x:c r="C34" s="35" t="str"/>
      <x:c r="D34" s="35" t="str">
        <x:v>detail</x:v>
      </x:c>
      <x:c r="E34" s="35" t="str">
        <x:v>No</x:v>
      </x:c>
      <x:c r="F34" s="35" t="str">
        <x:v>draft_conservators_office_intro</x:v>
      </x:c>
    </x:row>
    <x:row r="35" ht="34" customHeight="1">
      <x:c r="A35" s="35" t="str">
        <x:v>lab</x:v>
      </x:c>
      <x:c r="B35" s="35" t="str">
        <x:v>Lab introduction</x:v>
      </x:c>
      <x:c r="C35" s="35" t="str"/>
      <x:c r="D35" s="35" t="str">
        <x:v>detail</x:v>
      </x:c>
      <x:c r="E35" s="35" t="str">
        <x:v>No</x:v>
      </x:c>
      <x:c r="F35" s="35" t="str">
        <x:v>draft_lab_intro</x:v>
      </x:c>
    </x:row>
    <x:row r="36" ht="34" customHeight="1">
      <x:c r="A36" s="35" t="str">
        <x:v>gallery</x:v>
      </x:c>
      <x:c r="B36" s="35" t="str">
        <x:v>Rear round display</x:v>
      </x:c>
      <x:c r="C36" s="35" t="str"/>
      <x:c r="D36" s="35" t="str">
        <x:v>detail</x:v>
      </x:c>
      <x:c r="E36" s="35" t="str">
        <x:v>No</x:v>
      </x:c>
      <x:c r="F36" s="35" t="str">
        <x:v>draft_gallery_case_02</x:v>
      </x:c>
    </x:row>
    <x:row r="37" ht="34" customHeight="1">
      <x:c r="A37" s="35" t="str">
        <x:v>historical_society</x:v>
      </x:c>
      <x:c r="B37" s="35" t="str">
        <x:v>Window-side case</x:v>
      </x:c>
      <x:c r="C37" s="35" t="str"/>
      <x:c r="D37" s="35" t="str">
        <x:v>detail</x:v>
      </x:c>
      <x:c r="E37" s="35" t="str">
        <x:v>No</x:v>
      </x:c>
      <x:c r="F37" s="35" t="str">
        <x:v>draft_historical_society_case_01</x:v>
      </x:c>
    </x:row>
    <x:row r="38" ht="34" customHeight="1">
      <x:c r="A38" s="35" t="str">
        <x:v>historical_society</x:v>
      </x:c>
      <x:c r="B38" s="35" t="str">
        <x:v>Foreground-right case</x:v>
      </x:c>
      <x:c r="C38" s="35" t="str"/>
      <x:c r="D38" s="35" t="str">
        <x:v>detail</x:v>
      </x:c>
      <x:c r="E38" s="35" t="str">
        <x:v>No</x:v>
      </x:c>
      <x:c r="F38" s="35" t="str">
        <x:v>draft_historical_society_case_02</x:v>
      </x:c>
    </x:row>
    <x:row r="39" ht="34" customHeight="1">
      <x:c r="A39" s="35" t="str">
        <x:v>attic</x:v>
      </x:c>
      <x:c r="B39" s="35" t="str">
        <x:v>Left open trunk</x:v>
      </x:c>
      <x:c r="C39" s="35" t="str"/>
      <x:c r="D39" s="35" t="str">
        <x:v>detail</x:v>
      </x:c>
      <x:c r="E39" s="35" t="str">
        <x:v>No</x:v>
      </x:c>
      <x:c r="F39" s="35" t="str">
        <x:v>draft_attic_trunk_01</x:v>
      </x:c>
    </x:row>
    <x:row r="40" ht="34" customHeight="1">
      <x:c r="A40" s="35" t="str">
        <x:v>attic</x:v>
      </x:c>
      <x:c r="B40" s="35" t="str">
        <x:v>Right open trunk</x:v>
      </x:c>
      <x:c r="C40" s="35" t="str"/>
      <x:c r="D40" s="35" t="str">
        <x:v>detail</x:v>
      </x:c>
      <x:c r="E40" s="35" t="str">
        <x:v>No</x:v>
      </x:c>
      <x:c r="F40" s="35" t="str">
        <x:v>draft_attic_trunk_02</x:v>
      </x:c>
    </x:row>
    <x:row r="41" ht="34" customHeight="1">
      <x:c r="A41" s="35" t="str">
        <x:v>attic</x:v>
      </x:c>
      <x:c r="B41" s="35" t="str">
        <x:v>Shelving</x:v>
      </x:c>
      <x:c r="C41" s="35" t="str"/>
      <x:c r="D41" s="35" t="str">
        <x:v>detail</x:v>
      </x:c>
      <x:c r="E41" s="35" t="str">
        <x:v>No</x:v>
      </x:c>
      <x:c r="F41" s="35" t="str">
        <x:v>draft_attic_shelves_01</x:v>
      </x:c>
    </x:row>
    <x:row r="42" ht="34" customHeight="1">
      <x:c r="A42" s="35" t="str">
        <x:v>attic</x:v>
      </x:c>
      <x:c r="B42" s="35" t="str">
        <x:v>Research table</x:v>
      </x:c>
      <x:c r="C42" s="35" t="str"/>
      <x:c r="D42" s="35" t="str">
        <x:v>detail</x:v>
      </x:c>
      <x:c r="E42" s="35" t="str">
        <x:v>No</x:v>
      </x:c>
      <x:c r="F42" s="35" t="str">
        <x:v>draft_attic_table_01</x:v>
      </x:c>
    </x:row>
    <x:row r="43" ht="34" customHeight="1">
      <x:c r="A43" s="35" t="str">
        <x:v>natural_history</x:v>
      </x:c>
      <x:c r="B43" s="35" t="str">
        <x:v>Background wall curator mount</x:v>
      </x:c>
      <x:c r="C43" s="35" t="str"/>
      <x:c r="D43" s="35" t="str">
        <x:v>detail</x:v>
      </x:c>
      <x:c r="E43" s="35" t="str">
        <x:v>No</x:v>
      </x:c>
      <x:c r="F43" s="35" t="str">
        <x:v>draft_natural_history_timeline_02</x:v>
      </x:c>
    </x:row>
    <x:row r="44" ht="34" customHeight="1">
      <x:c r="A44" s="35" t="str">
        <x:v>natural_history</x:v>
      </x:c>
      <x:c r="B44" s="35" t="str">
        <x:v>Foreground table left</x:v>
      </x:c>
      <x:c r="C44" s="35" t="str"/>
      <x:c r="D44" s="35" t="str">
        <x:v>detail</x:v>
      </x:c>
      <x:c r="E44" s="35" t="str">
        <x:v>No</x:v>
      </x:c>
      <x:c r="F44" s="35" t="str">
        <x:v>draft_natural_history_table_01</x:v>
      </x:c>
    </x:row>
    <x:row r="45" ht="34" customHeight="1">
      <x:c r="A45" s="35" t="str">
        <x:v>natural_history</x:v>
      </x:c>
      <x:c r="B45" s="35" t="str">
        <x:v>Foreground table right</x:v>
      </x:c>
      <x:c r="C45" s="35" t="str"/>
      <x:c r="D45" s="35" t="str">
        <x:v>detail</x:v>
      </x:c>
      <x:c r="E45" s="35" t="str">
        <x:v>No</x:v>
      </x:c>
      <x:c r="F45" s="35" t="str">
        <x:v>draft_natural_history_table_02</x:v>
      </x:c>
    </x:row>
    <x:row r="46" ht="34" customHeight="1">
      <x:c r="A46" s="35" t="str">
        <x:v>conservators_office</x:v>
      </x:c>
      <x:c r="B46" s="35" t="str">
        <x:v>Left shelving</x:v>
      </x:c>
      <x:c r="C46" s="35" t="str"/>
      <x:c r="D46" s="35" t="str">
        <x:v>detail</x:v>
      </x:c>
      <x:c r="E46" s="35" t="str">
        <x:v>No</x:v>
      </x:c>
      <x:c r="F46" s="35" t="str">
        <x:v>draft_conservators_office_shelves_01</x:v>
      </x:c>
    </x:row>
    <x:row r="47" ht="34" customHeight="1">
      <x:c r="A47" s="35" t="str">
        <x:v>conservators_office</x:v>
      </x:c>
      <x:c r="B47" s="35" t="str">
        <x:v>Rear shelving</x:v>
      </x:c>
      <x:c r="C47" s="35" t="str"/>
      <x:c r="D47" s="35" t="str">
        <x:v>detail</x:v>
      </x:c>
      <x:c r="E47" s="35" t="str">
        <x:v>No</x:v>
      </x:c>
      <x:c r="F47" s="35" t="str">
        <x:v>draft_conservators_office_shelves_02</x:v>
      </x:c>
    </x:row>
    <x:row r="48" ht="34" customHeight="1">
      <x:c r="A48" s="35" t="str">
        <x:v>conservators_office</x:v>
      </x:c>
      <x:c r="B48" s="35" t="str">
        <x:v>Right shelving</x:v>
      </x:c>
      <x:c r="C48" s="35" t="str"/>
      <x:c r="D48" s="35" t="str">
        <x:v>detail</x:v>
      </x:c>
      <x:c r="E48" s="35" t="str">
        <x:v>No</x:v>
      </x:c>
      <x:c r="F48" s="35" t="str">
        <x:v>draft_conservators_office_shelves_03</x:v>
      </x:c>
    </x:row>
    <x:row r="49" ht="34" customHeight="1">
      <x:c r="A49" s="35" t="str">
        <x:v>lab</x:v>
      </x:c>
      <x:c r="B49" s="35" t="str">
        <x:v>Analysis bench</x:v>
      </x:c>
      <x:c r="C49" s="35" t="str"/>
      <x:c r="D49" s="35" t="str">
        <x:v>detail</x:v>
      </x:c>
      <x:c r="E49" s="35" t="str">
        <x:v>No</x:v>
      </x:c>
      <x:c r="F49" s="35" t="str">
        <x:v>draft_lab_bench_01</x:v>
      </x:c>
    </x:row>
    <x:row r="50" ht="34" customHeight="1">
      <x:c r="A50" s="35" t="str">
        <x:v>lab</x:v>
      </x:c>
      <x:c r="B50" s="35" t="str">
        <x:v>Equipment</x:v>
      </x:c>
      <x:c r="C50" s="35" t="str"/>
      <x:c r="D50" s="35" t="str">
        <x:v>detail</x:v>
      </x:c>
      <x:c r="E50" s="35" t="str">
        <x:v>No</x:v>
      </x:c>
      <x:c r="F50" s="35" t="str">
        <x:v>draft_lab_equipment_01</x:v>
      </x:c>
    </x:row>
    <x:row r="51" ht="34" customHeight="1">
      <x:c r="A51" s="35" t="str">
        <x:v>lab</x:v>
      </x:c>
      <x:c r="B51" s="35" t="str">
        <x:v>Left cabinet</x:v>
      </x:c>
      <x:c r="C51" s="35" t="str"/>
      <x:c r="D51" s="35" t="str">
        <x:v>detail</x:v>
      </x:c>
      <x:c r="E51" s="35" t="str">
        <x:v>No</x:v>
      </x:c>
      <x:c r="F51" s="35" t="str">
        <x:v>draft_lab_cabinet_01</x:v>
      </x:c>
    </x:row>
    <x:row r="52" ht="34" customHeight="1">
      <x:c r="A52" s="35" t="str">
        <x:v>lab</x:v>
      </x:c>
      <x:c r="B52" s="35" t="str">
        <x:v>Right cabinet</x:v>
      </x:c>
      <x:c r="C52" s="35" t="str"/>
      <x:c r="D52" s="35" t="str">
        <x:v>detail</x:v>
      </x:c>
      <x:c r="E52" s="35" t="str">
        <x:v>No</x:v>
      </x:c>
      <x:c r="F52" s="35" t="str">
        <x:v>draft_lab_cabinet_02</x:v>
      </x:c>
    </x:row>
    <x:row r="53" ht="34" customHeight="1">
      <x:c r="A53" s="35" t="str">
        <x:v>gallery</x:v>
      </x:c>
      <x:c r="B53" s="35" t="str">
        <x:v>New access point</x:v>
      </x:c>
      <x:c r="C53" s="35" t="str"/>
      <x:c r="D53" s="35" t="str">
        <x:v>detail</x:v>
      </x:c>
      <x:c r="E53" s="35" t="str">
        <x:v>No</x:v>
      </x:c>
      <x:c r="F53" s="35" t="str">
        <x:v>draft_gallery_detail_01</x:v>
      </x:c>
    </x:row>
  </x:sheetData>
  <x:mergeCells>
    <x:mergeCell ref="A1:F1"/>
  </x:mergeCells>
  <x:pageMargins left="0.7" right="0.7" top="0.75" bottom="0.75" header="0.3" footer="0.3"/>
</x:worksheet>
</file>